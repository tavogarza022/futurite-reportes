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12.xml.rels" ContentType="application/vnd.openxmlformats-package.relationships+xml"/>
  <Override PartName="/xl/worksheets/_rels/sheet15.xml.rels" ContentType="application/vnd.openxmlformats-package.relationships+xml"/>
  <Override PartName="/xl/worksheets/_rels/sheet17.xml.rels" ContentType="application/vnd.openxmlformats-package.relationships+xml"/>
  <Override PartName="/xl/worksheets/_rels/sheet18.xml.rels" ContentType="application/vnd.openxmlformats-package.relationships+xml"/>
  <Override PartName="/xl/worksheets/_rels/sheet20.xml.rels" ContentType="application/vnd.openxmlformats-package.relationships+xml"/>
  <Override PartName="/xl/worksheets/_rels/sheet2.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23.xml.rels" ContentType="application/vnd.openxmlformats-package.relationships+xml"/>
  <Override PartName="/xl/worksheets/_rels/sheet6.xml.rels" ContentType="application/vnd.openxmlformats-package.relationships+xml"/>
  <Override PartName="/xl/worksheets/_rels/sheet10.xml.rels" ContentType="application/vnd.openxmlformats-package.relationships+xml"/>
  <Override PartName="/xl/worksheets/_rels/sheet22.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3.xml.rels" ContentType="application/vnd.openxmlformats-package.relationships+xml"/>
  <Override PartName="/xl/worksheets/_rels/sheet19.xml.rels" ContentType="application/vnd.openxmlformats-package.relationships+xml"/>
  <Override PartName="/xl/worksheets/_rels/sheet2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24.xml" ContentType="application/vnd.openxmlformats-officedocument.spreadsheetml.worksheet+xml"/>
  <Override PartName="/xl/worksheets/sheet1.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5.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16.xml" ContentType="application/vnd.openxmlformats-officedocument.drawing+xml"/>
  <Override PartName="/xl/drawings/drawing7.xml" ContentType="application/vnd.openxmlformats-officedocument.drawing+xml"/>
  <Override PartName="/xl/drawings/drawing2.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rtada" sheetId="1" state="visible" r:id="rId3"/>
    <sheet name="1. Asistencia Completa" sheetId="2" state="visible" r:id="rId4"/>
    <sheet name="2. Top 10 Puntualidad" sheetId="3" state="visible" r:id="rId5"/>
    <sheet name="3. Top 10 Retardos" sheetId="4" state="visible" r:id="rId6"/>
    <sheet name="4. Salidas Tempranas" sheetId="5" state="visible" r:id="rId7"/>
    <sheet name="4b. Salidas Tarde" sheetId="6" state="visible" r:id="rId8"/>
    <sheet name="5. Mayor Tareas" sheetId="7" state="visible" r:id="rId9"/>
    <sheet name="6. Menor Tareas" sheetId="8" state="visible" r:id="rId10"/>
    <sheet name="7. Tasa Cumplimiento" sheetId="9" state="visible" r:id="rId11"/>
    <sheet name="8. Por Departamento" sheetId="10" state="visible" r:id="rId12"/>
    <sheet name="9. Retardos por Día" sheetId="11" state="visible" r:id="rId13"/>
    <sheet name="10. Inconsistencias" sheetId="12" state="visible" r:id="rId14"/>
    <sheet name="11. Top 10 Clientes Mayor Hrs" sheetId="13" state="visible" r:id="rId15"/>
    <sheet name="12. Top 10 Clientes Menor Hrs" sheetId="14" state="visible" r:id="rId16"/>
    <sheet name="13. Recurrencia de Clientes" sheetId="15" state="visible" r:id="rId17"/>
    <sheet name="14. Clientes Activos por Mes" sheetId="16" state="visible" r:id="rId18"/>
    <sheet name="15. Por Categoría de Cliente" sheetId="17" state="visible" r:id="rId19"/>
    <sheet name="16. Servicios Más Consumidos" sheetId="18" state="visible" r:id="rId20"/>
    <sheet name="17. Evolución Mensual" sheetId="19" state="visible" r:id="rId21"/>
    <sheet name="18. Clientes Nuevos por Mes" sheetId="20" state="visible" r:id="rId22"/>
    <sheet name="19. Sin Actividad en Marzo" sheetId="21" state="visible" r:id="rId23"/>
    <sheet name="20. Horas por Departamento" sheetId="22" state="visible" r:id="rId24"/>
    <sheet name="21. Evolución Dept por Cliente" sheetId="23" state="visible" r:id="rId25"/>
    <sheet name="22. Validación y Candados" sheetId="24" state="visible" r:id="rId26"/>
  </sheets>
  <definedNames>
    <definedName function="false" hidden="true" localSheetId="1" name="_xlnm._FilterDatabase" vbProcedure="false">'1. Asistencia Completa'!$A$3:$L$49</definedName>
    <definedName function="false" hidden="true" localSheetId="11" name="_xlnm._FilterDatabase" vbProcedure="false">'10. Inconsistencias'!$A$3:$E$45</definedName>
    <definedName function="false" hidden="true" localSheetId="12" name="_xlnm._FilterDatabase" vbProcedure="false">'11. Top 10 Clientes Mayor Hrs'!$A$3:$I$13</definedName>
    <definedName function="false" hidden="true" localSheetId="13" name="_xlnm._FilterDatabase" vbProcedure="false">'12. Top 10 Clientes Menor Hrs'!$A$3:$H$13</definedName>
    <definedName function="false" hidden="true" localSheetId="14" name="_xlnm._FilterDatabase" vbProcedure="false">'13. Recurrencia de Clientes'!$A$3:$H$87</definedName>
    <definedName function="false" hidden="true" localSheetId="16" name="_xlnm._FilterDatabase" vbProcedure="false">'15. Por Categoría de Cliente'!$A$3:$H$8</definedName>
    <definedName function="false" hidden="true" localSheetId="17" name="_xlnm._FilterDatabase" vbProcedure="false">'16. Servicios Más Consumidos'!$A$3:$E$18</definedName>
    <definedName function="false" hidden="true" localSheetId="18" name="_xlnm._FilterDatabase" vbProcedure="false">'17. Evolución Mensual'!$A$3:$G$87</definedName>
    <definedName function="false" hidden="true" localSheetId="19" name="_xlnm._FilterDatabase" vbProcedure="false">'18. Clientes Nuevos por Mes'!$A$3:$E$87</definedName>
    <definedName function="false" hidden="true" localSheetId="20" name="_xlnm._FilterDatabase" vbProcedure="false">'19. Sin Actividad en Marzo'!$A$3:$F$32</definedName>
    <definedName function="false" hidden="true" localSheetId="2" name="_xlnm._FilterDatabase" vbProcedure="false">'2. Top 10 Puntualidad'!$A$3:$F$13</definedName>
    <definedName function="false" hidden="true" localSheetId="21" name="_xlnm._FilterDatabase" vbProcedure="false">'20. Horas por Departamento'!$A$3:$H$10</definedName>
    <definedName function="false" hidden="true" localSheetId="22" name="_xlnm._FilterDatabase" vbProcedure="false">'21. Evolución Dept por Cliente'!$A$3:$J$87</definedName>
    <definedName function="false" hidden="true" localSheetId="3" name="_xlnm._FilterDatabase" vbProcedure="false">'3. Top 10 Retardos'!$A$3:$F$13</definedName>
    <definedName function="false" hidden="true" localSheetId="4" name="_xlnm._FilterDatabase" vbProcedure="false">'4. Salidas Tempranas'!$A$3:$L$34</definedName>
    <definedName function="false" hidden="true" localSheetId="5" name="_xlnm._FilterDatabase" vbProcedure="false">'4b. Salidas Tarde'!$A$3:$M$30</definedName>
    <definedName function="false" hidden="true" localSheetId="6" name="_xlnm._FilterDatabase" vbProcedure="false">'5. Mayor Tareas'!$A$3:$G$13</definedName>
    <definedName function="false" hidden="true" localSheetId="7" name="_xlnm._FilterDatabase" vbProcedure="false">'6. Menor Tareas'!$A$3:$G$13</definedName>
    <definedName function="false" hidden="true" localSheetId="8" name="_xlnm._FilterDatabase" vbProcedure="false">'7. Tasa Cumplimiento'!$A$3:$G$40</definedName>
    <definedName function="false" hidden="true" localSheetId="9" name="_xlnm._FilterDatabase" vbProcedure="false">'8. Por Departamento'!$A$3:$F$10</definedName>
    <definedName function="false" hidden="true" localSheetId="10" name="_xlnm._FilterDatabase" vbProcedure="false">'9. Retardos por Día'!$A$3:$D$10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<sst xmlns="http://schemas.openxmlformats.org/spreadsheetml/2006/main" count="2151" uniqueCount="719">
  <si>
    <t xml:space="preserve">REPORTE QUINCENAL OPERATIVO</t>
  </si>
  <si>
    <t xml:space="preserve">Agencia Futurite  |  1ª Quincena Marzo 2026</t>
  </si>
  <si>
    <t xml:space="preserve">Tipo de reporte:</t>
  </si>
  <si>
    <t xml:space="preserve">Quincenal — 1ª quincena del mes</t>
  </si>
  <si>
    <t xml:space="preserve">Periodo asistencias:</t>
  </si>
  <si>
    <t xml:space="preserve">02 Mar 2026 – 13 Mar 2026  |  10 días hábiles</t>
  </si>
  <si>
    <t xml:space="preserve">Periodo tareas:</t>
  </si>
  <si>
    <t xml:space="preserve">01 Ene 2026 – 13 Mar 2026  |  Ene–Feb completo + 1ª quincena Marzo</t>
  </si>
  <si>
    <t xml:space="preserve">Periodo horas clientes:</t>
  </si>
  <si>
    <t xml:space="preserve">01 Ene 2026 – 18 Mar 2026  |  Ene–Feb completo + Marzo parcial</t>
  </si>
  <si>
    <t xml:space="preserve">Periodo horas deptos:</t>
  </si>
  <si>
    <t xml:space="preserve">Días hábiles:</t>
  </si>
  <si>
    <t xml:space="preserve">10 días  (02 Mar – 13 Mar 2026)</t>
  </si>
  <si>
    <t xml:space="preserve">Colaboradores asistencia:</t>
  </si>
  <si>
    <t xml:space="preserve">46 colaboradores</t>
  </si>
  <si>
    <t xml:space="preserve">Horas trabajadas (asist.):</t>
  </si>
  <si>
    <t xml:space="preserve">1794.32 hrs  |  Solo días con entrada y salida registradas</t>
  </si>
  <si>
    <t xml:space="preserve">⚠️ Nota:</t>
  </si>
  <si>
    <t xml:space="preserve">Las secciones de Tareas (5–8) contienen datos acumulados Ene–13 Mar 2026. Las secciones de Clientes (11–22) contienen datos Ene–18 Mar 2026. Solo las hojas 1–10 de Asistencia reflejan la 1ª quincena (02–13 Mar 2026).</t>
  </si>
  <si>
    <t xml:space="preserve">Generado:</t>
  </si>
  <si>
    <t xml:space="preserve">18/03/2026</t>
  </si>
  <si>
    <t xml:space="preserve">Contenido del reporte:</t>
  </si>
  <si>
    <t xml:space="preserve">— Asistencia y Productividad (periodo quincenal: 02–13 Mar 2026) —</t>
  </si>
  <si>
    <t xml:space="preserve">1. Tabla Completa de Asistencia</t>
  </si>
  <si>
    <t xml:space="preserve">2. Top 10 Puntualidad</t>
  </si>
  <si>
    <t xml:space="preserve">3. Top 10 Retardos</t>
  </si>
  <si>
    <t xml:space="preserve">4. Salidas Tempranas – Detalle por fecha</t>
  </si>
  <si>
    <t xml:space="preserve">4b. Salidas Tarde – Detalle por fecha</t>
  </si>
  <si>
    <t xml:space="preserve">5–8. Tareas y Departamentos (acumulado Ene–13 Mar 2026)</t>
  </si>
  <si>
    <t xml:space="preserve">9. Retardos por Día de la Semana</t>
  </si>
  <si>
    <t xml:space="preserve">10. Inconsistencias de Checada</t>
  </si>
  <si>
    <t xml:space="preserve">— Clientes y Horas de Servicio (acumulado Ene–18 Mar 2026) —</t>
  </si>
  <si>
    <t xml:space="preserve">11–19. Métricas de Clientes</t>
  </si>
  <si>
    <t xml:space="preserve">20–22. Departamentos y Validación</t>
  </si>
  <si>
    <t xml:space="preserve">5. Top 10 Mayor Tareas</t>
  </si>
  <si>
    <t xml:space="preserve">6. Top 10 Menor Tareas</t>
  </si>
  <si>
    <t xml:space="preserve">7. Tasa de Cumplimiento</t>
  </si>
  <si>
    <t xml:space="preserve">8. Resumen por Departamento (Tareas)</t>
  </si>
  <si>
    <t xml:space="preserve">9. Día de la Semana con Más Retardos</t>
  </si>
  <si>
    <t xml:space="preserve">— Clientes y Horas de Servicio —</t>
  </si>
  <si>
    <t xml:space="preserve">12. Top 10 Clientes — Mayor Horas de Servicio</t>
  </si>
  <si>
    <t xml:space="preserve">13. Top 10 Clientes — Menor Horas de Servicio</t>
  </si>
  <si>
    <t xml:space="preserve">14. Recurrencia de Clientes (3 meses)</t>
  </si>
  <si>
    <t xml:space="preserve">15. Clientes Activos por Mes</t>
  </si>
  <si>
    <t xml:space="preserve">16. Resumen por Categoría de Cliente</t>
  </si>
  <si>
    <t xml:space="preserve">17. Servicios Más Consumidos</t>
  </si>
  <si>
    <t xml:space="preserve">18. Evolución Mensual de Horas</t>
  </si>
  <si>
    <t xml:space="preserve">19. Clientes Nuevos por Mes</t>
  </si>
  <si>
    <t xml:space="preserve">20. Clientes sin Actividad en Marzo</t>
  </si>
  <si>
    <t xml:space="preserve">— Departamentos y Validación —</t>
  </si>
  <si>
    <t xml:space="preserve">21. Horas por Departamento — Desglose Mensual</t>
  </si>
  <si>
    <t xml:space="preserve">22. Horas por Departamento y Cliente</t>
  </si>
  <si>
    <t xml:space="preserve">23. Validación y Candados — Cruce de 3 Fuentes</t>
  </si>
  <si>
    <t xml:space="preserve">TABLA COMPLETA DE ASISTENCIA — 46 Colaboradores | 10 días hábiles (02 Mar 2026 – 13 Mar 2026)</t>
  </si>
  <si>
    <t xml:space="preserve">📅  Fuente: Asistencias   |   Periodo: 02/03/2026 – 13/03/2026   |   10 días hábiles</t>
  </si>
  <si>
    <t xml:space="preserve">#</t>
  </si>
  <si>
    <t xml:space="preserve">Colaborador</t>
  </si>
  <si>
    <t xml:space="preserve">Días
Asistidos</t>
  </si>
  <si>
    <t xml:space="preserve">Días
Ausente</t>
  </si>
  <si>
    <t xml:space="preserve">% Asistencia</t>
  </si>
  <si>
    <t xml:space="preserve">Días
Puntual</t>
  </si>
  <si>
    <t xml:space="preserve">Días
Retardo</t>
  </si>
  <si>
    <t xml:space="preserve">Hora Prom.
Entrada</t>
  </si>
  <si>
    <t xml:space="preserve">Prom. Hrs
Trabajadas</t>
  </si>
  <si>
    <t xml:space="preserve">Salidas
Tempranas</t>
  </si>
  <si>
    <t xml:space="preserve">Etiqueta</t>
  </si>
  <si>
    <t xml:space="preserve">Abel Gerardo Salazar Gar</t>
  </si>
  <si>
    <t xml:space="preserve">14:19</t>
  </si>
  <si>
    <t xml:space="preserve">—</t>
  </si>
  <si>
    <t xml:space="preserve">  Externo  </t>
  </si>
  <si>
    <t xml:space="preserve">Adrian Alejandro Garza A</t>
  </si>
  <si>
    <t xml:space="preserve">10:44</t>
  </si>
  <si>
    <t xml:space="preserve">  Dirección  </t>
  </si>
  <si>
    <t xml:space="preserve">Adrián Magallanes Arco</t>
  </si>
  <si>
    <t xml:space="preserve">09:48</t>
  </si>
  <si>
    <t xml:space="preserve">  Sin indulto  </t>
  </si>
  <si>
    <t xml:space="preserve">AlejandroVargasMendez 20</t>
  </si>
  <si>
    <t xml:space="preserve">08:08</t>
  </si>
  <si>
    <t xml:space="preserve">Alejandrocalderon 25</t>
  </si>
  <si>
    <t xml:space="preserve">08:26</t>
  </si>
  <si>
    <t xml:space="preserve">Alfonso Barjau</t>
  </si>
  <si>
    <t xml:space="preserve">09:47</t>
  </si>
  <si>
    <t xml:space="preserve">AnaKarenGarcia 26</t>
  </si>
  <si>
    <t xml:space="preserve">09:10</t>
  </si>
  <si>
    <t xml:space="preserve">AnettRivera 44</t>
  </si>
  <si>
    <t xml:space="preserve">10:13</t>
  </si>
  <si>
    <t xml:space="preserve">Angel Gonzalez</t>
  </si>
  <si>
    <t xml:space="preserve">10:02</t>
  </si>
  <si>
    <t xml:space="preserve">AnthonyRodriguez 28</t>
  </si>
  <si>
    <t xml:space="preserve">08:59</t>
  </si>
  <si>
    <t xml:space="preserve">  Baja  </t>
  </si>
  <si>
    <t xml:space="preserve">ArturoLopez 31</t>
  </si>
  <si>
    <t xml:space="preserve">08:53</t>
  </si>
  <si>
    <t xml:space="preserve">Azeneth Alejandra Ledezm</t>
  </si>
  <si>
    <t xml:space="preserve">15:39</t>
  </si>
  <si>
    <t xml:space="preserve">CarmenAlcocer 11</t>
  </si>
  <si>
    <t xml:space="preserve">11:46</t>
  </si>
  <si>
    <t xml:space="preserve">Daniel Quiroga Salinas</t>
  </si>
  <si>
    <t xml:space="preserve">08:51</t>
  </si>
  <si>
    <t xml:space="preserve">DanielaRodriguez 43</t>
  </si>
  <si>
    <t xml:space="preserve">09:22</t>
  </si>
  <si>
    <t xml:space="preserve">Diegocarrion 9</t>
  </si>
  <si>
    <t xml:space="preserve">09:07</t>
  </si>
  <si>
    <t xml:space="preserve">Edgar Martínez Castillo</t>
  </si>
  <si>
    <t xml:space="preserve">09:52</t>
  </si>
  <si>
    <t xml:space="preserve">EliezerNunez 8</t>
  </si>
  <si>
    <t xml:space="preserve">08:39</t>
  </si>
  <si>
    <t xml:space="preserve">ErwinAlexisMontesCastane 212</t>
  </si>
  <si>
    <t xml:space="preserve">08:56</t>
  </si>
  <si>
    <t xml:space="preserve">EsmeraldaVazquez 37</t>
  </si>
  <si>
    <t xml:space="preserve">09:06</t>
  </si>
  <si>
    <t xml:space="preserve">Gabrielgonzalez 24</t>
  </si>
  <si>
    <t xml:space="preserve">08:57</t>
  </si>
  <si>
    <t xml:space="preserve">Gustavo Enmanuel Garza G</t>
  </si>
  <si>
    <t xml:space="preserve">09:28</t>
  </si>
  <si>
    <t xml:space="preserve">IsraelObregon 40</t>
  </si>
  <si>
    <t xml:space="preserve">08:45</t>
  </si>
  <si>
    <t xml:space="preserve">JorgeValdez 12</t>
  </si>
  <si>
    <t xml:space="preserve">11:26</t>
  </si>
  <si>
    <t xml:space="preserve">JorgeValenteAlfaroRuiz 1</t>
  </si>
  <si>
    <t xml:space="preserve">09:14</t>
  </si>
  <si>
    <t xml:space="preserve">Jose Enrique Sanchez Vil</t>
  </si>
  <si>
    <t xml:space="preserve">11:56</t>
  </si>
  <si>
    <t xml:space="preserve">José Patricio Peña Mader</t>
  </si>
  <si>
    <t xml:space="preserve">KarinyaSilva 7</t>
  </si>
  <si>
    <t xml:space="preserve">09:09</t>
  </si>
  <si>
    <t xml:space="preserve">KatiaMontemayor 39</t>
  </si>
  <si>
    <t xml:space="preserve">09:15</t>
  </si>
  <si>
    <t xml:space="preserve">LauraLeticiaMorales 42</t>
  </si>
  <si>
    <t xml:space="preserve">13:54</t>
  </si>
  <si>
    <t xml:space="preserve">  Intendencia  </t>
  </si>
  <si>
    <t xml:space="preserve">Lucia Gonzalez</t>
  </si>
  <si>
    <t xml:space="preserve">09:37</t>
  </si>
  <si>
    <t xml:space="preserve">LuisEspinosa 18</t>
  </si>
  <si>
    <t xml:space="preserve">MaAlexandraMorales 38</t>
  </si>
  <si>
    <t xml:space="preserve">09:27</t>
  </si>
  <si>
    <t xml:space="preserve">  Home Office  </t>
  </si>
  <si>
    <t xml:space="preserve">NahomiHerrera 13</t>
  </si>
  <si>
    <t xml:space="preserve">09:17</t>
  </si>
  <si>
    <t xml:space="preserve">NayelyArechiga 35</t>
  </si>
  <si>
    <t xml:space="preserve">09:01</t>
  </si>
  <si>
    <t xml:space="preserve">Oscarruiz 17</t>
  </si>
  <si>
    <t xml:space="preserve">09:57</t>
  </si>
  <si>
    <t xml:space="preserve">PaolaGarcia 6</t>
  </si>
  <si>
    <t xml:space="preserve">SamuelCebreros 32</t>
  </si>
  <si>
    <t xml:space="preserve">09:35</t>
  </si>
  <si>
    <t xml:space="preserve">SamuelIvanSanchezHerrera 213</t>
  </si>
  <si>
    <t xml:space="preserve">SandraXcaretGonzalezBara 203</t>
  </si>
  <si>
    <t xml:space="preserve">SeleneBriones 41</t>
  </si>
  <si>
    <t xml:space="preserve">09:43</t>
  </si>
  <si>
    <t xml:space="preserve">SofiaGuerra 5</t>
  </si>
  <si>
    <t xml:space="preserve">09:13</t>
  </si>
  <si>
    <t xml:space="preserve">StephanieGarza 16</t>
  </si>
  <si>
    <t xml:space="preserve">09:30</t>
  </si>
  <si>
    <t xml:space="preserve">VeronicaPicon 27</t>
  </si>
  <si>
    <t xml:space="preserve">VicenteManzo 36</t>
  </si>
  <si>
    <t xml:space="preserve">WillianaCuellar 219</t>
  </si>
  <si>
    <t xml:space="preserve">09:25</t>
  </si>
  <si>
    <t xml:space="preserve">TOTALES</t>
  </si>
  <si>
    <t xml:space="preserve">NOTAS Y DEFINICIONES DE MÉTRICAS:</t>
  </si>
  <si>
    <t xml:space="preserve">  • Días Asistidos: número de días hábiles del periodo en que el colaborador tiene al menos un registro de entrada.</t>
  </si>
  <si>
    <t xml:space="preserve">  • Días Ausente: días hábiles sin ningún registro de entrada. Cálculo: 10 días hábiles − Días Asistidos.</t>
  </si>
  <si>
    <t xml:space="preserve">  • % Asistencia: proporción de días asistidos sobre el total de días hábiles del periodo. Fórmula: Días Asistidos / 10.</t>
  </si>
  <si>
    <t xml:space="preserve">  • Semáforo Asistencia: Verde ≥ 90% | Amarillo 75–89% | Rojo &lt; 75%. Basado en % Asistencia.</t>
  </si>
  <si>
    <t xml:space="preserve">  • Días Puntual: días en que la primera entrada registrada fue antes de las 9:00 a.m.</t>
  </si>
  <si>
    <t xml:space="preserve">  • Días Retardo: días en que la primera entrada registrada fue después de las 9:20 a.m.</t>
  </si>
  <si>
    <t xml:space="preserve">  • Hora Prom. Entrada: promedio aritmético de todas las horas de primera entrada del colaborador en el periodo.</t>
  </si>
  <si>
    <t xml:space="preserve">  • Prom. Hrs Trabajadas: promedio de horas entre la primera entrada y la última salida de cada día (solo días con ambos registros).</t>
  </si>
  <si>
    <t xml:space="preserve">  • Salidas Tempranas: número de días con registro de salida antes de las 6:00 p.m.</t>
  </si>
  <si>
    <t xml:space="preserve">  • Doble Checada: días con dos o más registros de entrada sin salida intermedia. Probable error del dispositivo biométrico.</t>
  </si>
  <si>
    <t xml:space="preserve">TOP 10 PUNTUALIDAD — Entradas antes de las 9:00 a.m.</t>
  </si>
  <si>
    <t xml:space="preserve">Días Puntual</t>
  </si>
  <si>
    <t xml:space="preserve">Días Asistidos</t>
  </si>
  <si>
    <t xml:space="preserve">% Puntualidad</t>
  </si>
  <si>
    <t xml:space="preserve">Hora Prom. Entrada</t>
  </si>
  <si>
    <t xml:space="preserve">  • Días Puntual: número de días en que la primera entrada registrada fue antes de las 9:00 a.m.</t>
  </si>
  <si>
    <t xml:space="preserve">  • % Puntualidad: proporción de días puntuales sobre los días asistidos. Fórmula: Días Puntual / Días Asistidos.</t>
  </si>
  <si>
    <t xml:space="preserve">  • Ranking: ordenado de mayor a menor número de días puntual. En caso de empate, se considera la hora promedio de entrada más temprana.</t>
  </si>
  <si>
    <t xml:space="preserve">TOP 10 RETARDOS — Entradas después de las 9:20 a.m.</t>
  </si>
  <si>
    <t xml:space="preserve">Días Retardo</t>
  </si>
  <si>
    <t xml:space="preserve">% Retardo</t>
  </si>
  <si>
    <t xml:space="preserve">  • Días Retardo: número de días en que la primera entrada registrada fue después de las 9:20 a.m.</t>
  </si>
  <si>
    <t xml:space="preserve">  • % Retardo: proporción de días con retardo sobre los días asistidos. Fórmula: Días Retardo / Días Asistidos.</t>
  </si>
  <si>
    <t xml:space="preserve">  • Ranking: ordenado de mayor a menor número de días con retardo. En caso de empate, se considera la hora promedio de entrada más tardía.</t>
  </si>
  <si>
    <t xml:space="preserve">  • Nota: un colaborador puede aparecer en este ranking y en el de puntualidad si su hora de entrada varía significativamente entre días.</t>
  </si>
  <si>
    <t xml:space="preserve">SALIDAS ANTES DE LAS 6:00 p.m. — Resumen por colaborador y detalle de registros</t>
  </si>
  <si>
    <t xml:space="preserve">Total Salidas
Tempranas</t>
  </si>
  <si>
    <t xml:space="preserve">Fecha 1</t>
  </si>
  <si>
    <t xml:space="preserve">Fecha 2</t>
  </si>
  <si>
    <t xml:space="preserve">Fecha 3</t>
  </si>
  <si>
    <t xml:space="preserve">Fecha 4</t>
  </si>
  <si>
    <t xml:space="preserve">Fecha 5</t>
  </si>
  <si>
    <t xml:space="preserve">Fecha 6</t>
  </si>
  <si>
    <t xml:space="preserve">Fecha 7</t>
  </si>
  <si>
    <t xml:space="preserve">Fecha 8</t>
  </si>
  <si>
    <t xml:space="preserve">Fecha 9</t>
  </si>
  <si>
    <t xml:space="preserve">2026-03-02 17:59</t>
  </si>
  <si>
    <t xml:space="preserve">2026-03-03 17:56</t>
  </si>
  <si>
    <t xml:space="preserve">2026-03-04 17:55</t>
  </si>
  <si>
    <t xml:space="preserve">2026-03-05 17:56</t>
  </si>
  <si>
    <t xml:space="preserve">2026-03-06 17:59</t>
  </si>
  <si>
    <t xml:space="preserve">2026-03-09 17:55</t>
  </si>
  <si>
    <t xml:space="preserve">2026-03-11 17:55</t>
  </si>
  <si>
    <t xml:space="preserve">2026-03-12 17:56</t>
  </si>
  <si>
    <t xml:space="preserve">2026-03-13 17:55</t>
  </si>
  <si>
    <t xml:space="preserve">2026-03-02 17:54</t>
  </si>
  <si>
    <t xml:space="preserve">2026-03-03 17:53</t>
  </si>
  <si>
    <t xml:space="preserve">2026-03-04 17:53</t>
  </si>
  <si>
    <t xml:space="preserve">2026-03-05 17:54</t>
  </si>
  <si>
    <t xml:space="preserve">2026-03-11 17:56</t>
  </si>
  <si>
    <t xml:space="preserve">2026-03-03 17:57</t>
  </si>
  <si>
    <t xml:space="preserve">2026-03-04 17:54</t>
  </si>
  <si>
    <t xml:space="preserve">2026-03-05 17:53</t>
  </si>
  <si>
    <t xml:space="preserve">2026-03-06 17:55</t>
  </si>
  <si>
    <t xml:space="preserve">2026-03-10 17:56</t>
  </si>
  <si>
    <t xml:space="preserve">2026-03-11 17:54</t>
  </si>
  <si>
    <t xml:space="preserve">2026-03-12 17:58</t>
  </si>
  <si>
    <t xml:space="preserve">2026-03-13 17:57</t>
  </si>
  <si>
    <t xml:space="preserve">2026-03-04 17:56</t>
  </si>
  <si>
    <t xml:space="preserve">2026-03-06 16:19</t>
  </si>
  <si>
    <t xml:space="preserve">2026-03-02 17:45</t>
  </si>
  <si>
    <t xml:space="preserve">2026-03-04 17:57</t>
  </si>
  <si>
    <t xml:space="preserve">2026-03-05 17:55</t>
  </si>
  <si>
    <t xml:space="preserve">2026-03-09 17:58</t>
  </si>
  <si>
    <t xml:space="preserve">2026-03-10 17:55</t>
  </si>
  <si>
    <t xml:space="preserve">2026-03-03 17:54</t>
  </si>
  <si>
    <t xml:space="preserve">2026-03-05 17:57</t>
  </si>
  <si>
    <t xml:space="preserve">2026-03-13 17:56</t>
  </si>
  <si>
    <t xml:space="preserve">2026-03-02 17:55</t>
  </si>
  <si>
    <t xml:space="preserve">2026-03-05 17:59</t>
  </si>
  <si>
    <t xml:space="preserve">2026-03-09 17:57</t>
  </si>
  <si>
    <t xml:space="preserve">2026-03-12 17:59</t>
  </si>
  <si>
    <t xml:space="preserve">2026-03-04 17:59</t>
  </si>
  <si>
    <t xml:space="preserve">2026-03-06 17:54</t>
  </si>
  <si>
    <t xml:space="preserve">2026-03-13 08:17</t>
  </si>
  <si>
    <t xml:space="preserve">2026-03-02 17:57</t>
  </si>
  <si>
    <t xml:space="preserve">2026-03-02 17:53</t>
  </si>
  <si>
    <t xml:space="preserve">2026-03-05 17:58</t>
  </si>
  <si>
    <t xml:space="preserve">2026-03-03 17:55</t>
  </si>
  <si>
    <t xml:space="preserve">2026-03-06 17:53</t>
  </si>
  <si>
    <t xml:space="preserve">2026-03-03 17:58</t>
  </si>
  <si>
    <t xml:space="preserve">2026-03-02 07:59</t>
  </si>
  <si>
    <t xml:space="preserve">2026-03-06 07:51</t>
  </si>
  <si>
    <t xml:space="preserve">2026-03-13 08:04</t>
  </si>
  <si>
    <t xml:space="preserve">2026-03-13 08:14</t>
  </si>
  <si>
    <t xml:space="preserve">2026-03-06 08:28</t>
  </si>
  <si>
    <t xml:space="preserve">2026-03-11 17:59</t>
  </si>
  <si>
    <t xml:space="preserve">2026-03-02 08:13</t>
  </si>
  <si>
    <t xml:space="preserve">TOTAL REGISTROS</t>
  </si>
  <si>
    <t xml:space="preserve">  • Salida Temprana: registro de salida antes de las 6:00 p.m. (18:00 hrs).</t>
  </si>
  <si>
    <t xml:space="preserve">  • Total Salidas Tempranas: número de días con registro de salida antes de las 6:00 p.m.</t>
  </si>
  <si>
    <t xml:space="preserve">  • Cada columna 'Fecha N' muestra la fecha y hora exacta, ordenadas cronológicamente.</t>
  </si>
  <si>
    <t xml:space="preserve">  • Ranking: ordenado de mayor a menor número de salidas tempranas en el periodo.</t>
  </si>
  <si>
    <t xml:space="preserve">  • Contraparte: ver hoja '4b. Salidas Tarde'.</t>
  </si>
  <si>
    <t xml:space="preserve">SALIDAS DESPUÉS DE LAS 6:00 p.m. — Resumen por colaborador y detalle de registros</t>
  </si>
  <si>
    <t xml:space="preserve">Total Salidas
Tarde</t>
  </si>
  <si>
    <t xml:space="preserve">Fecha 10</t>
  </si>
  <si>
    <t xml:space="preserve">2026-03-02 19:02</t>
  </si>
  <si>
    <t xml:space="preserve">2026-03-03 18:34</t>
  </si>
  <si>
    <t xml:space="preserve">2026-03-04 19:11</t>
  </si>
  <si>
    <t xml:space="preserve">2026-03-05 19:20</t>
  </si>
  <si>
    <t xml:space="preserve">2026-03-06 18:31</t>
  </si>
  <si>
    <t xml:space="preserve">2026-03-09 18:49</t>
  </si>
  <si>
    <t xml:space="preserve">2026-03-10 18:05</t>
  </si>
  <si>
    <t xml:space="preserve">2026-03-11 19:15</t>
  </si>
  <si>
    <t xml:space="preserve">2026-03-12 18:33</t>
  </si>
  <si>
    <t xml:space="preserve">2026-03-13 18:28</t>
  </si>
  <si>
    <t xml:space="preserve">2026-03-02 18:22</t>
  </si>
  <si>
    <t xml:space="preserve">2026-03-03 18:08</t>
  </si>
  <si>
    <t xml:space="preserve">2026-03-05 18:08</t>
  </si>
  <si>
    <t xml:space="preserve">2026-03-06 18:04</t>
  </si>
  <si>
    <t xml:space="preserve">2026-03-09 18:02</t>
  </si>
  <si>
    <t xml:space="preserve">2026-03-10 18:10</t>
  </si>
  <si>
    <t xml:space="preserve">2026-03-11 18:12</t>
  </si>
  <si>
    <t xml:space="preserve">2026-03-12 18:15</t>
  </si>
  <si>
    <t xml:space="preserve">2026-03-02 18:28</t>
  </si>
  <si>
    <t xml:space="preserve">2026-03-04 18:07</t>
  </si>
  <si>
    <t xml:space="preserve">2026-03-05 18:03</t>
  </si>
  <si>
    <t xml:space="preserve">2026-03-06 18:03</t>
  </si>
  <si>
    <t xml:space="preserve">2026-03-09 18:00</t>
  </si>
  <si>
    <t xml:space="preserve">2026-03-10 18:00</t>
  </si>
  <si>
    <t xml:space="preserve">2026-03-03 18:06</t>
  </si>
  <si>
    <t xml:space="preserve">2026-03-04 18:00</t>
  </si>
  <si>
    <t xml:space="preserve">2026-03-11 18:01</t>
  </si>
  <si>
    <t xml:space="preserve">2026-03-12 18:00</t>
  </si>
  <si>
    <t xml:space="preserve">2026-03-13 18:00</t>
  </si>
  <si>
    <t xml:space="preserve">2026-03-03 18:03</t>
  </si>
  <si>
    <t xml:space="preserve">2026-03-05 18:07</t>
  </si>
  <si>
    <t xml:space="preserve">2026-03-06 18:05</t>
  </si>
  <si>
    <t xml:space="preserve">2026-03-11 18:00</t>
  </si>
  <si>
    <t xml:space="preserve">2026-03-03 18:33</t>
  </si>
  <si>
    <t xml:space="preserve">2026-03-10 18:18</t>
  </si>
  <si>
    <t xml:space="preserve">2026-03-11 18:19</t>
  </si>
  <si>
    <t xml:space="preserve">2026-03-03 18:01</t>
  </si>
  <si>
    <t xml:space="preserve">2026-03-04 18:05</t>
  </si>
  <si>
    <t xml:space="preserve">2026-03-06 18:08</t>
  </si>
  <si>
    <t xml:space="preserve">2026-03-03 18:10</t>
  </si>
  <si>
    <t xml:space="preserve">2026-03-10 18:04</t>
  </si>
  <si>
    <t xml:space="preserve">2026-03-02 18:05</t>
  </si>
  <si>
    <t xml:space="preserve">2026-03-05 19:18</t>
  </si>
  <si>
    <t xml:space="preserve">2026-03-06 18:07</t>
  </si>
  <si>
    <t xml:space="preserve">2026-03-11 18:15</t>
  </si>
  <si>
    <t xml:space="preserve">2026-03-11 18:16</t>
  </si>
  <si>
    <t xml:space="preserve">2026-03-05 18:28</t>
  </si>
  <si>
    <t xml:space="preserve">2026-03-05 18:13</t>
  </si>
  <si>
    <t xml:space="preserve">2026-03-11 18:53</t>
  </si>
  <si>
    <t xml:space="preserve">2026-03-05 19:31</t>
  </si>
  <si>
    <t xml:space="preserve">  • Salida Tarde: registro de salida después de las 6:00 p.m. (18:00 hrs).</t>
  </si>
  <si>
    <t xml:space="preserve">  • Total Salidas Tarde: número de días con registro de salida después de las 6:00 p.m.</t>
  </si>
  <si>
    <t xml:space="preserve">  • Ranking: ordenado de mayor a menor número de salidas tarde en el periodo.</t>
  </si>
  <si>
    <t xml:space="preserve">  • Contraparte: ver hoja '4. Salidas Tempranas'.</t>
  </si>
  <si>
    <t xml:space="preserve">TOP 10 COLABORADORES — MAYOR NÚMERO DE TAREAS</t>
  </si>
  <si>
    <t xml:space="preserve">📅  Fuente: Tareas   |   Periodo: 01/01/2026 – 17/03/2026   |   Periodo completo</t>
  </si>
  <si>
    <t xml:space="preserve">Departamento</t>
  </si>
  <si>
    <t xml:space="preserve">Total Tareas</t>
  </si>
  <si>
    <t xml:space="preserve">Horas Servicio</t>
  </si>
  <si>
    <t xml:space="preserve">% del Total</t>
  </si>
  <si>
    <t xml:space="preserve">Hrs/Tarea</t>
  </si>
  <si>
    <t xml:space="preserve">Paola Espinosa</t>
  </si>
  <si>
    <t xml:space="preserve">Contenido</t>
  </si>
  <si>
    <t xml:space="preserve">Daniel Quiroga</t>
  </si>
  <si>
    <t xml:space="preserve">TI</t>
  </si>
  <si>
    <t xml:space="preserve">Arturo Lopez Muñoz</t>
  </si>
  <si>
    <t xml:space="preserve">Tráfico</t>
  </si>
  <si>
    <t xml:space="preserve">Diego Ozmar Carrion Hernandez</t>
  </si>
  <si>
    <t xml:space="preserve">Diseño</t>
  </si>
  <si>
    <t xml:space="preserve">Eliezer Nuñez Gaytan</t>
  </si>
  <si>
    <t xml:space="preserve">Alexandra Morales</t>
  </si>
  <si>
    <t xml:space="preserve">Alejandro Calderon</t>
  </si>
  <si>
    <t xml:space="preserve">Marketing</t>
  </si>
  <si>
    <t xml:space="preserve">Luis Gabriel González Rodríguez</t>
  </si>
  <si>
    <t xml:space="preserve">Ana Karen García Madrigal</t>
  </si>
  <si>
    <t xml:space="preserve">Nayely Aréchiga</t>
  </si>
  <si>
    <t xml:space="preserve">  • Importante: el total de tareas del equipo (2,145) corresponde al periodo 01 Ene – 17 Mar 2026, que difiere del periodo de asistencias (02 Ene – 27 Feb 2026). Los % del Total se calculan sobre este universo completo.</t>
  </si>
  <si>
    <t xml:space="preserve">  • Total Tareas: número total de tareas registradas en el sistema durante el periodo completo (01 Ene – 17 Mar 2026).</t>
  </si>
  <si>
    <t xml:space="preserve">  • Horas Servicio: total de horas de servicio asociadas a las tareas del colaborador en el periodo.</t>
  </si>
  <si>
    <t xml:space="preserve">  • % del Total: proporción de tareas del colaborador sobre el total de tareas del equipo (2,145). Fórmula: Tareas Colaborador / Total Tareas Equipo.</t>
  </si>
  <si>
    <t xml:space="preserve">  • Hrs/Tarea: promedio de horas invertidas por tarea. Fórmula: Horas Servicio / Total Tareas. Indica la complejidad o duración promedio de las tareas.</t>
  </si>
  <si>
    <t xml:space="preserve">  • Ranking: ordenado de mayor a menor número de tareas realizadas en el periodo.</t>
  </si>
  <si>
    <t xml:space="preserve">  • Nota: un colaborador puede aparecer en múltiples departamentos si realizó tareas en más de uno durante el periodo.</t>
  </si>
  <si>
    <t xml:space="preserve">TOP 10 COLABORADORES — MENOR NÚMERO DE TAREAS</t>
  </si>
  <si>
    <t xml:space="preserve">Jose Enrique Sanchez Villanueva</t>
  </si>
  <si>
    <t xml:space="preserve">Claudia Cantú</t>
  </si>
  <si>
    <t xml:space="preserve">Veronica Picon Colorado</t>
  </si>
  <si>
    <t xml:space="preserve">Sofia Guerra</t>
  </si>
  <si>
    <t xml:space="preserve">Josué Osorio Constantino</t>
  </si>
  <si>
    <t xml:space="preserve">Nahomi Herrera</t>
  </si>
  <si>
    <t xml:space="preserve">Sarahi Pichardo Gómez</t>
  </si>
  <si>
    <t xml:space="preserve">Stephanie Garza Cavazos</t>
  </si>
  <si>
    <t xml:space="preserve">Anthony Jose Rodriguez Soto</t>
  </si>
  <si>
    <t xml:space="preserve">Anna Guevara</t>
  </si>
  <si>
    <t xml:space="preserve">  • Hrs/Tarea: promedio de horas invertidas por tarea. Fórmula: Horas Servicio / Total Tareas. Valores bajos pueden indicar tareas de corta duración o baja carga de trabajo.</t>
  </si>
  <si>
    <t xml:space="preserve">  • Ranking: ordenado de menor a mayor número de tareas realizadas en el periodo.</t>
  </si>
  <si>
    <t xml:space="preserve">  • Nota: colaboradores con pocas tareas pueden estar en roles de soporte, haber ingresado recientemente al periodo, o tener tareas no capturadas en el sistema.</t>
  </si>
  <si>
    <t xml:space="preserve">TASA DE CUMPLIMIENTO — Todos los colaboradores con tareas (Hrs de servicio / Tareas realizadas)</t>
  </si>
  <si>
    <t xml:space="preserve">Fabricio Clavijo</t>
  </si>
  <si>
    <t xml:space="preserve">Angel Alejandro Gonzalez Lara</t>
  </si>
  <si>
    <t xml:space="preserve">Anett Rivera Vazquez</t>
  </si>
  <si>
    <t xml:space="preserve">Sandra Xcaret Gonzalez Barajas</t>
  </si>
  <si>
    <t xml:space="preserve">Erwin Montes Castañeda</t>
  </si>
  <si>
    <t xml:space="preserve">Luis Espinosa</t>
  </si>
  <si>
    <t xml:space="preserve">SEO</t>
  </si>
  <si>
    <t xml:space="preserve">William Roberto Cuellar Ramirez</t>
  </si>
  <si>
    <t xml:space="preserve">Frida Gonzalez</t>
  </si>
  <si>
    <t xml:space="preserve">Katia Montemayor Hernandez</t>
  </si>
  <si>
    <t xml:space="preserve">Vicente Manzo Flores</t>
  </si>
  <si>
    <t xml:space="preserve">Alejandro Vargas Mendez</t>
  </si>
  <si>
    <t xml:space="preserve">Samuel Sánchez Herrera</t>
  </si>
  <si>
    <t xml:space="preserve">Israel Obregón</t>
  </si>
  <si>
    <t xml:space="preserve">Edgar Martínez</t>
  </si>
  <si>
    <t xml:space="preserve">Gustavo Garza Garcia</t>
  </si>
  <si>
    <t xml:space="preserve">Adrian Magallanes</t>
  </si>
  <si>
    <t xml:space="preserve">  • Total Tareas: número total de tareas registradas en el sistema por el colaborador durante el periodo completo (01 Ene – 17 Mar 2026).</t>
  </si>
  <si>
    <t xml:space="preserve">  • Hrs/Tarea (Tasa de Cumplimiento): promedio de horas invertidas por tarea. Fórmula: Horas Servicio / Total Tareas.</t>
  </si>
  <si>
    <t xml:space="preserve">  • Interpretación Hrs/Tarea: valores altos indican tareas de mayor complejidad o duración. Valores bajos indican tareas más rápidas o de menor alcance.</t>
  </si>
  <si>
    <t xml:space="preserve">  • Ranking: ordenado de mayor a menor Hrs/Tarea, mostrando a los colaboradores con tareas de mayor duración promedio primero.</t>
  </si>
  <si>
    <t xml:space="preserve">  • Esta sección incluye a los 36 colaboradores con tareas registradas en el sistema, a diferencia de las secciones 5 y 6 que muestran solo el Top 10.</t>
  </si>
  <si>
    <t xml:space="preserve">RESUMEN POR DEPARTAMENTO — Tareas y horas de servicio</t>
  </si>
  <si>
    <t xml:space="preserve">N° Colaboradores</t>
  </si>
  <si>
    <t xml:space="preserve">Total Horas</t>
  </si>
  <si>
    <t xml:space="preserve">% Tareas del Equipo</t>
  </si>
  <si>
    <t xml:space="preserve">Hrs Prom/Tarea</t>
  </si>
  <si>
    <t xml:space="preserve">TOTAL EQUIPO</t>
  </si>
  <si>
    <t xml:space="preserve">  • N° Colaboradores: número de personas con al menos una tarea registrada en ese departamento durante el periodo.</t>
  </si>
  <si>
    <t xml:space="preserve">  • Total Tareas: suma de todas las tareas realizadas por colaboradores del departamento en el periodo (01 Ene – 17 Mar 2026).</t>
  </si>
  <si>
    <t xml:space="preserve">  • Total Horas: suma de todas las horas de servicio de los colaboradores del departamento en el periodo.</t>
  </si>
  <si>
    <t xml:space="preserve">  • % Tareas del Equipo: proporción de tareas del departamento sobre el total del equipo (2,145). Fórmula: Tareas Depto / Total Tareas Equipo.</t>
  </si>
  <si>
    <t xml:space="preserve">  • Hrs Prom/Tarea: promedio de horas por tarea a nivel departamento. Fórmula: Total Horas / Total Tareas. Refleja la complejidad promedio de las tareas del área.</t>
  </si>
  <si>
    <t xml:space="preserve">  • Ranking: ordenado de mayor a menor número de tareas por departamento.</t>
  </si>
  <si>
    <t xml:space="preserve">  • Nota: un colaborador puede contabilizarse en más de un departamento si registró tareas en distintas áreas durante el periodo.</t>
  </si>
  <si>
    <t xml:space="preserve">RETARDOS POR DÍA DE LA SEMANA — Análisis grupal del equipo</t>
  </si>
  <si>
    <t xml:space="preserve">Día de la Semana</t>
  </si>
  <si>
    <t xml:space="preserve">Total Retardos</t>
  </si>
  <si>
    <t xml:space="preserve">% del Total de Retardos</t>
  </si>
  <si>
    <t xml:space="preserve">Interpretación</t>
  </si>
  <si>
    <t xml:space="preserve">Lunes</t>
  </si>
  <si>
    <t xml:space="preserve">Pico de retardos del equipo</t>
  </si>
  <si>
    <t xml:space="preserve">Martes</t>
  </si>
  <si>
    <t xml:space="preserve">Inicio/fin de semana</t>
  </si>
  <si>
    <t xml:space="preserve">Miércoles</t>
  </si>
  <si>
    <t xml:space="preserve">Mitad de semana con alta incidencia</t>
  </si>
  <si>
    <t xml:space="preserve">Jueves</t>
  </si>
  <si>
    <t xml:space="preserve">Menor incidencia de retardos</t>
  </si>
  <si>
    <t xml:space="preserve">Viernes</t>
  </si>
  <si>
    <t xml:space="preserve">Segundo día con más retardos</t>
  </si>
  <si>
    <t xml:space="preserve">Total retardos registrados en el periodo: 95</t>
  </si>
  <si>
    <t xml:space="preserve">  • Total Retardos: número de registros de entrada después de las 9:20 a.m. en ese día de la semana, sumando todos los colaboradores y todas las ocurrencias del día en el periodo.</t>
  </si>
  <si>
    <t xml:space="preserve">  • % del Total de Retardos: proporción de retardos de ese día sobre el total de retardos del equipo en el periodo. Fórmula: Retardos del Día / Total Retardos.</t>
  </si>
  <si>
    <t xml:space="preserve">  • Interpretación: indica qué día de la semana concentra más llegadas tardías a nivel grupal, útil para identificar patrones de comportamiento del equipo.</t>
  </si>
  <si>
    <t xml:space="preserve">  • Periodo analizado: 02/01/2026 – 27/02/2026 | 41 días hábiles | Se considera retardo toda entrada registrada después de las 9:20 a.m.</t>
  </si>
  <si>
    <t xml:space="preserve">  • Nota: esta sección es un análisis grupal. Para ver los retardos por colaborador individual, consultar la hoja '3. Top 10 Retardos'.</t>
  </si>
  <si>
    <t xml:space="preserve">INCONSISTENCIAS DE CHECADA — Doble entrada y salidas sin entrada registrada</t>
  </si>
  <si>
    <t xml:space="preserve">Días Doble Entrada</t>
  </si>
  <si>
    <t xml:space="preserve">Días Salida sin Entrada</t>
  </si>
  <si>
    <t xml:space="preserve">Tipo de Inconsistencia</t>
  </si>
  <si>
    <t xml:space="preserve">Doble entrada: 10 días</t>
  </si>
  <si>
    <t xml:space="preserve">Doble entrada: 9 días</t>
  </si>
  <si>
    <t xml:space="preserve">Doble entrada: 8 días</t>
  </si>
  <si>
    <t xml:space="preserve">Doble entrada: 7 días</t>
  </si>
  <si>
    <t xml:space="preserve">Doble entrada: 5 días | Salida sin entrada: 1 días</t>
  </si>
  <si>
    <t xml:space="preserve">Doble entrada: 6 días</t>
  </si>
  <si>
    <t xml:space="preserve">Doble entrada: 5 días</t>
  </si>
  <si>
    <t xml:space="preserve">Doble entrada: 3 días | Salida sin entrada: 1 días</t>
  </si>
  <si>
    <t xml:space="preserve">Doble entrada: 4 días</t>
  </si>
  <si>
    <t xml:space="preserve">Doble entrada: 3 días</t>
  </si>
  <si>
    <t xml:space="preserve">Doble entrada: 1 días | Salida sin entrada: 1 días</t>
  </si>
  <si>
    <t xml:space="preserve">Doble entrada: 2 días</t>
  </si>
  <si>
    <t xml:space="preserve">Doble entrada: 1 días</t>
  </si>
  <si>
    <t xml:space="preserve">Total colaboradores con inconsistencias: 42 de 46</t>
  </si>
  <si>
    <t xml:space="preserve">TOP 10 CLIENTES — MAYOR HORAS DE SERVICIO</t>
  </si>
  <si>
    <t xml:space="preserve">📅  Fuente: Horas de Servicio por Cliente   |   Periodo: 01/01/2026 – 18/03/2026   |   Enero, Febrero y Marzo 2026 (parcial)</t>
  </si>
  <si>
    <t xml:space="preserve">Cliente</t>
  </si>
  <si>
    <t xml:space="preserve">Categoría</t>
  </si>
  <si>
    <t xml:space="preserve">Hrs Enero</t>
  </si>
  <si>
    <t xml:space="preserve">Hrs Febrero</t>
  </si>
  <si>
    <t xml:space="preserve">Hrs Marzo</t>
  </si>
  <si>
    <t xml:space="preserve">Total Hrs</t>
  </si>
  <si>
    <t xml:space="preserve">Tendencia</t>
  </si>
  <si>
    <t xml:space="preserve">MONTGOMERY</t>
  </si>
  <si>
    <t xml:space="preserve">B</t>
  </si>
  <si>
    <t xml:space="preserve">↓ Bajando</t>
  </si>
  <si>
    <t xml:space="preserve">InverCap</t>
  </si>
  <si>
    <t xml:space="preserve">AAA</t>
  </si>
  <si>
    <t xml:space="preserve">Financiera MEXI</t>
  </si>
  <si>
    <t xml:space="preserve">Crea Soluciones - Estudios de mercado</t>
  </si>
  <si>
    <t xml:space="preserve">TERZA</t>
  </si>
  <si>
    <t xml:space="preserve">AA</t>
  </si>
  <si>
    <t xml:space="preserve">COBERLUM</t>
  </si>
  <si>
    <t xml:space="preserve">A</t>
  </si>
  <si>
    <t xml:space="preserve">MUGUERZA SUR</t>
  </si>
  <si>
    <t xml:space="preserve">Tecmilenio - Comunidades</t>
  </si>
  <si>
    <t xml:space="preserve">OnGoing</t>
  </si>
  <si>
    <t xml:space="preserve">— Sin Mar</t>
  </si>
  <si>
    <t xml:space="preserve">YOMP</t>
  </si>
  <si>
    <t xml:space="preserve">PY</t>
  </si>
  <si>
    <t xml:space="preserve">TOTAL</t>
  </si>
  <si>
    <t xml:space="preserve">  • Total Hrs: suma de horas de servicio del cliente en los tres meses del periodo (Ene + Feb + Mar).</t>
  </si>
  <si>
    <t xml:space="preserve">  • % del Total: proporción de horas del cliente sobre el total de horas del equipo en el periodo. El total del equipo se encuentra en la celda G14. Fórmula: Hrs Cliente / Total Hrs Equipo (G14).</t>
  </si>
  <si>
    <t xml:space="preserve">  • Tendencia: comparación entre Feb y Mar. '↑ Creciendo' = Mar ≥ Feb | '↓ Bajando' = Mar &lt; Feb | '— Sin Mar' = sin actividad en Marzo.</t>
  </si>
  <si>
    <t xml:space="preserve">  • Categorías: AAA = cliente premium | AA = cliente alto | A = cliente medio | B = cliente base | PY = proyecto especial.</t>
  </si>
  <si>
    <t xml:space="preserve">  • Periodo: 01 Enero 2026 – 18 Marzo 2026. Nota: Marzo incluye solo hasta el 18/03/2026, por lo que sus horas son parciales.</t>
  </si>
  <si>
    <t xml:space="preserve">TOP 10 CLIENTES — MENOR HORAS DE SERVICIO</t>
  </si>
  <si>
    <t xml:space="preserve">Pedrera San Angel</t>
  </si>
  <si>
    <t xml:space="preserve">Dr. Salvador Ángel</t>
  </si>
  <si>
    <t xml:space="preserve">ASC Manufacturing</t>
  </si>
  <si>
    <t xml:space="preserve">Hospital Sierra Madre</t>
  </si>
  <si>
    <t xml:space="preserve">Aceros Satelite</t>
  </si>
  <si>
    <t xml:space="preserve">Covacsa</t>
  </si>
  <si>
    <t xml:space="preserve">Tecnocranes</t>
  </si>
  <si>
    <t xml:space="preserve">Colegio Maranatha</t>
  </si>
  <si>
    <t xml:space="preserve">ICCE</t>
  </si>
  <si>
    <t xml:space="preserve">TAVILSA</t>
  </si>
  <si>
    <t xml:space="preserve">  • Ranking: ordenado de menor a mayor total de horas en el periodo. Clientes con menor inversión de tiempo del equipo.</t>
  </si>
  <si>
    <t xml:space="preserve">  • Total Hrs: suma de horas de servicio del cliente en los tres meses (Ene + Feb + Mar).</t>
  </si>
  <si>
    <t xml:space="preserve">  • % del Total: proporción sobre el total de horas del equipo. El total del equipo se encuentra en la celda G14. Fórmula: Hrs Cliente / Total Hrs Equipo (G14).</t>
  </si>
  <si>
    <t xml:space="preserve">  • Interpretación: cuentas con pocas horas pueden estar en etapa inicial, ser proyectos puntuales o requerir revisión de actividad.</t>
  </si>
  <si>
    <t xml:space="preserve">  • Periodo: 01 Enero 2026 – 18 Marzo 2026.</t>
  </si>
  <si>
    <t xml:space="preserve">RECURRENCIA DE CLIENTES — Actividad mensual por cuenta</t>
  </si>
  <si>
    <t xml:space="preserve">Meses Activo</t>
  </si>
  <si>
    <t xml:space="preserve">3/3</t>
  </si>
  <si>
    <t xml:space="preserve">Propuestas Comerciales - Futurite</t>
  </si>
  <si>
    <t xml:space="preserve">Paxcon by Line-X</t>
  </si>
  <si>
    <t xml:space="preserve">Nicholas plastics de Mexico</t>
  </si>
  <si>
    <t xml:space="preserve">TLE</t>
  </si>
  <si>
    <t xml:space="preserve">FAMAPER</t>
  </si>
  <si>
    <t xml:space="preserve">Materia</t>
  </si>
  <si>
    <t xml:space="preserve">Pinturas Philadelphia</t>
  </si>
  <si>
    <t xml:space="preserve">PHS</t>
  </si>
  <si>
    <t xml:space="preserve">Soluciones Pop</t>
  </si>
  <si>
    <t xml:space="preserve">Ledger consultores</t>
  </si>
  <si>
    <t xml:space="preserve">AutoTracking</t>
  </si>
  <si>
    <t xml:space="preserve">kanan Servicios</t>
  </si>
  <si>
    <t xml:space="preserve">SUMINREGIOS INDUSTRIALES</t>
  </si>
  <si>
    <t xml:space="preserve">Grupo Corda Arquitectos</t>
  </si>
  <si>
    <t xml:space="preserve">Futurite</t>
  </si>
  <si>
    <t xml:space="preserve">Anaerobia</t>
  </si>
  <si>
    <t xml:space="preserve">Leuman GMB</t>
  </si>
  <si>
    <t xml:space="preserve">Inversión Educativa TEC</t>
  </si>
  <si>
    <t xml:space="preserve">Dr. Christopher Manrique</t>
  </si>
  <si>
    <t xml:space="preserve">CBN</t>
  </si>
  <si>
    <t xml:space="preserve">Gama Music</t>
  </si>
  <si>
    <t xml:space="preserve">VAG INMOBILIARIA (Remate bancario)</t>
  </si>
  <si>
    <t xml:space="preserve">CIA NEUMATICA INTERNACIONAL</t>
  </si>
  <si>
    <t xml:space="preserve">Gobierno del Estado de Coahuila</t>
  </si>
  <si>
    <t xml:space="preserve">Roma Herramientas de Corte</t>
  </si>
  <si>
    <t xml:space="preserve">INFINITI Monterrey</t>
  </si>
  <si>
    <t xml:space="preserve">Maxicargas Gruas</t>
  </si>
  <si>
    <t xml:space="preserve">Elizondo</t>
  </si>
  <si>
    <t xml:space="preserve">Ghase - GNV</t>
  </si>
  <si>
    <t xml:space="preserve">Hospital San Vicente</t>
  </si>
  <si>
    <t xml:space="preserve">Grupo SAR</t>
  </si>
  <si>
    <t xml:space="preserve">The Paletas</t>
  </si>
  <si>
    <t xml:space="preserve">Biovento</t>
  </si>
  <si>
    <t xml:space="preserve">Argo de México</t>
  </si>
  <si>
    <t xml:space="preserve">PASA</t>
  </si>
  <si>
    <t xml:space="preserve">Radiology Advance</t>
  </si>
  <si>
    <t xml:space="preserve">MAXIRent</t>
  </si>
  <si>
    <t xml:space="preserve">Raelsa</t>
  </si>
  <si>
    <t xml:space="preserve">2/3</t>
  </si>
  <si>
    <t xml:space="preserve">Inmobiliaria Garza Capital</t>
  </si>
  <si>
    <t xml:space="preserve">TRYPHE</t>
  </si>
  <si>
    <t xml:space="preserve">Bullseyes Mexico</t>
  </si>
  <si>
    <t xml:space="preserve">Petrovim</t>
  </si>
  <si>
    <t xml:space="preserve">Office Class</t>
  </si>
  <si>
    <t xml:space="preserve">DURATEX</t>
  </si>
  <si>
    <t xml:space="preserve">Gobarsa</t>
  </si>
  <si>
    <t xml:space="preserve">Homline</t>
  </si>
  <si>
    <t xml:space="preserve">Suplify</t>
  </si>
  <si>
    <t xml:space="preserve">Corehlance</t>
  </si>
  <si>
    <t xml:space="preserve">Hospitales MAC</t>
  </si>
  <si>
    <t xml:space="preserve">BlackPixel</t>
  </si>
  <si>
    <t xml:space="preserve">MACERO</t>
  </si>
  <si>
    <t xml:space="preserve">NS Global Trade</t>
  </si>
  <si>
    <t xml:space="preserve">Dentinna</t>
  </si>
  <si>
    <t xml:space="preserve">Hamer Empaques</t>
  </si>
  <si>
    <t xml:space="preserve">OSPECA</t>
  </si>
  <si>
    <t xml:space="preserve">ECN Corrugados Saltillo</t>
  </si>
  <si>
    <t xml:space="preserve">Dr. Eliseo Vela - Medico Otorrino</t>
  </si>
  <si>
    <t xml:space="preserve">Apetit</t>
  </si>
  <si>
    <t xml:space="preserve">1/3</t>
  </si>
  <si>
    <t xml:space="preserve">INMEDI-K</t>
  </si>
  <si>
    <t xml:space="preserve">Conversia</t>
  </si>
  <si>
    <t xml:space="preserve">Vesuvius México</t>
  </si>
  <si>
    <t xml:space="preserve">Proyectos 9</t>
  </si>
  <si>
    <t xml:space="preserve">Dr. Jorge Gonzalez</t>
  </si>
  <si>
    <t xml:space="preserve">Manolo Jimenez Saltillo</t>
  </si>
  <si>
    <t xml:space="preserve">  • Meses Activo: número de meses (de 3 posibles) en que el cliente tiene horas de servicio registradas.</t>
  </si>
  <si>
    <t xml:space="preserve">  • Semáforo de color: Verde = activo los 3 meses (recurrente) | Amarillo = activo 2 meses | Rojo = activo solo 1 mes.</t>
  </si>
  <si>
    <t xml:space="preserve">  • Clientes recurrentes (3/3): cuentas activas los tres meses del periodo. El conteo se obtiene filtrando la columna H por '3/3'.</t>
  </si>
  <si>
    <t xml:space="preserve">  • Clientes activos 2 meses: aparecen en 2 de los 3 meses — pueden ser cuentas estacionales o en transición.</t>
  </si>
  <si>
    <t xml:space="preserve">  • Clientes activos 1 mes: cuentas que aparecen en solo un mes — pueden ser proyectos puntuales, clientes nuevos o cuentas en riesgo. Ver columna H filtrada por '1/3'.</t>
  </si>
  <si>
    <t xml:space="preserve">  • Periodo: 01 Enero 2026 – 18 Marzo 2026. Marzo parcial hasta el 18/03/2026.</t>
  </si>
  <si>
    <t xml:space="preserve">CLIENTES ACTIVOS POR MES — Evolución mensual de cuentas</t>
  </si>
  <si>
    <t xml:space="preserve">Mes</t>
  </si>
  <si>
    <t xml:space="preserve">Clientes Activos</t>
  </si>
  <si>
    <t xml:space="preserve">Horas Totales</t>
  </si>
  <si>
    <t xml:space="preserve">% Horas del Periodo</t>
  </si>
  <si>
    <t xml:space="preserve">Variación vs Mes Anterior</t>
  </si>
  <si>
    <t xml:space="preserve">Enero 2026</t>
  </si>
  <si>
    <t xml:space="preserve">Febrero 2026</t>
  </si>
  <si>
    <t xml:space="preserve">Marzo 2026*</t>
  </si>
  <si>
    <t xml:space="preserve">  • Clientes Activos: número de cuentas con al menos una hora de servicio registrada en ese mes.</t>
  </si>
  <si>
    <t xml:space="preserve">  • Horas Totales: suma de todas las horas de servicio del equipo en ese mes.</t>
  </si>
  <si>
    <t xml:space="preserve">  • % Horas del Periodo: proporción de horas del mes sobre el total del periodo. Fórmula: Horas Mes / SUM(C4:C6). Ver columna D.</t>
  </si>
  <si>
    <t xml:space="preserve">  • Variación vs Mes Anterior: cambio porcentual en horas respecto al mes previo. Fórmula: (Hrs Mes Actual − Hrs Mes Anterior) / Hrs Mes Anterior.</t>
  </si>
  <si>
    <t xml:space="preserve">  • *Marzo 2026 parcial: incluye solo hasta el 18/03/2026, por lo que clientes y horas son menores a un mes completo.</t>
  </si>
  <si>
    <t xml:space="preserve">RESUMEN POR CATEGORÍA DE CLIENTE — Horas y distribución</t>
  </si>
  <si>
    <t xml:space="preserve">N° Clientes</t>
  </si>
  <si>
    <t xml:space="preserve">Hrs Prom/Cliente</t>
  </si>
  <si>
    <t xml:space="preserve">  • Categorías de cliente: AAA = cliente premium | AA = cliente alto | A = cliente medio | B = cliente base | PY = proyecto especial.</t>
  </si>
  <si>
    <t xml:space="preserve">  • N° Clientes: número de cuentas únicas con actividad registrada en esa categoría durante el periodo.</t>
  </si>
  <si>
    <t xml:space="preserve">  • % del Total: proporción de horas de la categoría sobre el total de horas del equipo. El total se encuentra en la fila TOTAL de la columna F. Fórmula: F categoría / F total.</t>
  </si>
  <si>
    <t xml:space="preserve">  • Hrs Prom/Cliente: promedio de horas de servicio por cuenta en esa categoría. Fórmula: Total Hrs / N° Clientes.</t>
  </si>
  <si>
    <t xml:space="preserve">  • Ranking: ordenado de mayor a menor total de horas por categoría.</t>
  </si>
  <si>
    <t xml:space="preserve">SERVICIOS MÁS CONSUMIDOS — Horas por tipo de servicio en el periodo</t>
  </si>
  <si>
    <t xml:space="preserve">Tipo de Servicio</t>
  </si>
  <si>
    <t xml:space="preserve">% del Total de Horas</t>
  </si>
  <si>
    <t xml:space="preserve">Ranking</t>
  </si>
  <si>
    <t xml:space="preserve">Otros</t>
  </si>
  <si>
    <t xml:space="preserve">PARRILLA MENSUAL DE RRSS</t>
  </si>
  <si>
    <t xml:space="preserve">SEO Etapa 2 - mensual</t>
  </si>
  <si>
    <t xml:space="preserve">Propuesta Comercial</t>
  </si>
  <si>
    <t xml:space="preserve">Arranque de Google ADs | 2025</t>
  </si>
  <si>
    <t xml:space="preserve">ARRANQUE RRSS</t>
  </si>
  <si>
    <t xml:space="preserve">Seguimiento Mensual Google ADs</t>
  </si>
  <si>
    <t xml:space="preserve">Notas de blog Mensuales</t>
  </si>
  <si>
    <t xml:space="preserve">ARRANQUE GOOGLE ADS IA</t>
  </si>
  <si>
    <t xml:space="preserve">Arranque SEO - Auditoria Inicial &amp; Estrategia</t>
  </si>
  <si>
    <t xml:space="preserve">Desarrollo de LP</t>
  </si>
  <si>
    <t xml:space="preserve">Branding</t>
  </si>
  <si>
    <t xml:space="preserve">Tareas internas Tráfico</t>
  </si>
  <si>
    <t xml:space="preserve">Backlinks Mensual</t>
  </si>
  <si>
    <t xml:space="preserve">Tareas internas Contenido</t>
  </si>
  <si>
    <t xml:space="preserve">  • Tipo de Servicio: categoría de servicio registrada en los reportes mensuales de horas por cliente.</t>
  </si>
  <si>
    <t xml:space="preserve">  • Total Horas: suma de horas dedicadas a ese tipo de servicio en todos los clientes y los tres meses del periodo.</t>
  </si>
  <si>
    <t xml:space="preserve">  • % del Total de Horas: proporción sobre el total de horas de servicio registradas en el periodo. El total se encuentra en la fila TOTAL de la columna C. Fórmula: C servicio / C total.</t>
  </si>
  <si>
    <t xml:space="preserve">  • Nota: 'Otros' agrupa actividades no clasificadas en un servicio específico. Se recomienda revisar su desglose para mayor precisión.</t>
  </si>
  <si>
    <t xml:space="preserve">  • Ranking: ordenado de mayor a menor horas totales en el periodo.</t>
  </si>
  <si>
    <t xml:space="preserve">EVOLUCIÓN MENSUAL DE HORAS — Comparativo Enero · Febrero · Marzo 2026</t>
  </si>
  <si>
    <t xml:space="preserve">  • Muestra todos los clientes con actividad en el periodo, ordenados de mayor a menor total de horas.</t>
  </si>
  <si>
    <t xml:space="preserve">  • Valores en 0.0 indican que el cliente no tuvo actividad registrada en ese mes específico.</t>
  </si>
  <si>
    <t xml:space="preserve">  • Permite identificar clientes con crecimiento, reducción o discontinuidad en la actividad mes a mes.</t>
  </si>
  <si>
    <t xml:space="preserve">  • *Marzo 2026 parcial: incluye solo hasta el 18/03/2026. Las horas de marzo no son comparables directamente con meses completos.</t>
  </si>
  <si>
    <t xml:space="preserve">  • Los totales por mes se encuentran en la fila TOTAL al pie de la tabla (columnas D, E, F). Enero: columna D | Febrero: columna E | Marzo: columna F.</t>
  </si>
  <si>
    <t xml:space="preserve">CLIENTES NUEVOS POR MES — Primera aparición en el periodo</t>
  </si>
  <si>
    <t xml:space="preserve">Mes de Incorporación</t>
  </si>
  <si>
    <t xml:space="preserve">Primer Mes (Hrs)</t>
  </si>
  <si>
    <t xml:space="preserve">Total Hrs en Periodo</t>
  </si>
  <si>
    <t xml:space="preserve">Nuevos en Enero 2026</t>
  </si>
  <si>
    <t xml:space="preserve">Nuevos en Febrero 2026 (no estaban en Enero)</t>
  </si>
  <si>
    <t xml:space="preserve">Nuevos en Marzo 2026 (no estaban en Ene ni Feb)</t>
  </si>
  <si>
    <t xml:space="preserve">  • Nuevos en Enero: todos los clientes con actividad en Enero 2026 — se consideran el universo base del periodo.</t>
  </si>
  <si>
    <t xml:space="preserve">  • Nuevos en Febrero: clientes que aparecen por primera vez en Febrero, sin actividad registrada en Enero.</t>
  </si>
  <si>
    <t xml:space="preserve">  • Nuevos en Marzo: clientes que aparecen por primera vez en Marzo, sin actividad en Enero ni Febrero.</t>
  </si>
  <si>
    <t xml:space="preserve">  • Primer Mes (Hrs): horas registradas en el mes de primera aparición del cliente.</t>
  </si>
  <si>
    <t xml:space="preserve">  • Total Hrs en Periodo: suma de horas del cliente en todos los meses en que estuvo activo.</t>
  </si>
  <si>
    <t xml:space="preserve">  • Resumen por mes: el conteo de clientes nuevos por mes se obtiene filtrando la columna A por 'Nuevos en Febrero 2026' o 'Nuevos en Marzo 2026'.</t>
  </si>
  <si>
    <t xml:space="preserve">CLIENTES SIN ACTIVIDAD EN MARZO 2026 — Posible alerta de baja</t>
  </si>
  <si>
    <t xml:space="preserve">Total Hrs Ene+Feb</t>
  </si>
  <si>
    <t xml:space="preserve">  • Criterio: clientes con horas registradas en Enero y/o Febrero 2026, pero sin ninguna hora en Marzo 2026.</t>
  </si>
  <si>
    <t xml:space="preserve">  • El total de clientes sin actividad en Marzo corresponde al número de filas en esta tabla. El total de clientes únicos del periodo se encuentra en la hoja 14 (Recurrencia de Clientes).</t>
  </si>
  <si>
    <t xml:space="preserve">  • Posibles causas: proyecto concluido, pausa temporal, cambio de proveedor, o cuenta en riesgo de cancelación.</t>
  </si>
  <si>
    <t xml:space="preserve">  • Acción recomendada: verificar con el equipo comercial el estatus de cada cuenta listada.</t>
  </si>
  <si>
    <t xml:space="preserve">  • Nota: al ser Marzo parcial (hasta 18/03/2026), algunos clientes podrían aún registrar actividad antes de cerrar el mes.</t>
  </si>
  <si>
    <t xml:space="preserve">  • Ranking: ordenado de mayor a menor horas acumuladas en Ene+Feb — priorizando cuentas de mayor impacto.</t>
  </si>
  <si>
    <t xml:space="preserve">HORAS POR DEPARTAMENTO — Desglose mensual Ene · Feb · Mar 2026</t>
  </si>
  <si>
    <t xml:space="preserve">📅  Fuente: Horas por Departamento   |   Periodo: 01/01/2026 – 18/03/2026   |   Enero, Febrero y Marzo 2026 (parcial)</t>
  </si>
  <si>
    <t xml:space="preserve">Var Feb vs Ene</t>
  </si>
  <si>
    <t xml:space="preserve">Var Mar vs Feb</t>
  </si>
  <si>
    <t xml:space="preserve">Operaciones</t>
  </si>
  <si>
    <t xml:space="preserve">  • Datos extraídos del reporte de Horas por Departamento (01 Ene – 18 Mar 2026).</t>
  </si>
  <si>
    <t xml:space="preserve">  • Hrs Enero/Febrero/Marzo: suma de horas registradas por ese departamento en cada mes, para todos los clientes.</t>
  </si>
  <si>
    <t xml:space="preserve">  • % del Total: proporción de horas del departamento sobre el total del periodo. El total se encuentra en la fila TOTAL de la columna E. Fórmula: E depto / E total (E11).</t>
  </si>
  <si>
    <t xml:space="preserve">  • Var Feb vs Ene / Var Mar vs Feb: variación porcentual de horas entre meses consecutivos. Fórmula: (Mes Actual − Mes Anterior) / Mes Anterior.</t>
  </si>
  <si>
    <t xml:space="preserve">  • Operaciones: departamento con horas mínimas registradas en el periodo — no tiene colaboradores asignados en el reporte de tareas. El total exacto se puede verificar en la celda E7. Ver hoja 23 (Validación y Candados).</t>
  </si>
  <si>
    <t xml:space="preserve">  • *Marzo parcial hasta el 18/03/2026.</t>
  </si>
  <si>
    <t xml:space="preserve">HORAS POR DEPARTAMENTO Y CLIENTE — Desglose mensual completo</t>
  </si>
  <si>
    <t xml:space="preserve">  • Muestra el total de horas dedicadas a cada cliente por departamento, sumando los tres meses del periodo.</t>
  </si>
  <si>
    <t xml:space="preserve">  • Valores 0 indican que ese departamento no registró horas para ese cliente en el periodo.</t>
  </si>
  <si>
    <t xml:space="preserve">  • Permite identificar qué departamentos atienden a cada cliente y la distribución de carga por cuenta.</t>
  </si>
  <si>
    <t xml:space="preserve">  • Periodo: 01 Enero 2026 – 18 Marzo 2026 (*Marzo parcial hasta 18/03/2026).</t>
  </si>
  <si>
    <t xml:space="preserve">VALIDACIÓN Y CANDADOS — Cruce de las 3 fuentes de datos</t>
  </si>
  <si>
    <t xml:space="preserve">📅  Fuente: Cruce entre Doc. Colaboradores · Doc. Clientes · Doc. Departamentos   |   01 Ene – 18 Mar 2026</t>
  </si>
  <si>
    <t xml:space="preserve">A. RESUMEN DE FUENTES DE DATOS</t>
  </si>
  <si>
    <t xml:space="preserve">Fuente</t>
  </si>
  <si>
    <t xml:space="preserve">Descripción</t>
  </si>
  <si>
    <t xml:space="preserve">Periodo</t>
  </si>
  <si>
    <t xml:space="preserve">Clientes/Colabs</t>
  </si>
  <si>
    <t xml:space="preserve">Deptos</t>
  </si>
  <si>
    <t xml:space="preserve">Nota</t>
  </si>
  <si>
    <t xml:space="preserve">A — Colaboradores</t>
  </si>
  <si>
    <t xml:space="preserve">Reporte de tareas por colaborador</t>
  </si>
  <si>
    <t xml:space="preserve">01 Ene – 17 Mar 2026</t>
  </si>
  <si>
    <t xml:space="preserve">36 colaboradores</t>
  </si>
  <si>
    <t xml:space="preserve">6 deptos</t>
  </si>
  <si>
    <t xml:space="preserve">1 día menos que otras fuentes</t>
  </si>
  <si>
    <t xml:space="preserve">B — Clientes</t>
  </si>
  <si>
    <t xml:space="preserve">Horas de servicio por cliente</t>
  </si>
  <si>
    <t xml:space="preserve">01 Ene – 18 Mar 2026</t>
  </si>
  <si>
    <t xml:space="preserve">84 clientes</t>
  </si>
  <si>
    <t xml:space="preserve">N/A</t>
  </si>
  <si>
    <t xml:space="preserve">Fuente de referencia principal</t>
  </si>
  <si>
    <t xml:space="preserve">C — Departamentos</t>
  </si>
  <si>
    <t xml:space="preserve">Horas por departamento x cliente</t>
  </si>
  <si>
    <t xml:space="preserve">7 deptos</t>
  </si>
  <si>
    <t xml:space="preserve">Incluye Operaciones (0.84 hrs)</t>
  </si>
  <si>
    <t xml:space="preserve">B. CANDADOS DE VALIDACIÓN</t>
  </si>
  <si>
    <t xml:space="preserve">Candado</t>
  </si>
  <si>
    <t xml:space="preserve">Fuente A</t>
  </si>
  <si>
    <t xml:space="preserve">Fuente B</t>
  </si>
  <si>
    <t xml:space="preserve">Diferencia</t>
  </si>
  <si>
    <t xml:space="preserve">Estado</t>
  </si>
  <si>
    <t xml:space="preserve">Total B (clientes) == Total C (departamentos)</t>
  </si>
  <si>
    <t xml:space="preserve">3655.58 hrs</t>
  </si>
  <si>
    <t xml:space="preserve">3658.42 hrs</t>
  </si>
  <si>
    <t xml:space="preserve">-2.84 hrs</t>
  </si>
  <si>
    <t xml:space="preserve">⚠️ Revisar</t>
  </si>
  <si>
    <t xml:space="preserve">Diferencia de 2.84 hrs en Marzo — posible hora sin cliente asignado (corte parcial al 18 Mar)</t>
  </si>
  <si>
    <t xml:space="preserve">Total A (colaboradores) == Total B (clientes)</t>
  </si>
  <si>
    <t xml:space="preserve">3262.07 hrs</t>
  </si>
  <si>
    <t xml:space="preserve">-393.51 hrs</t>
  </si>
  <si>
    <t xml:space="preserve">393.51 hrs — techo de horas no trazables. Parte puede corresponder a trabajo interno no registrado en OnGoing.</t>
  </si>
  <si>
    <t xml:space="preserve">Mes Enero: B == C</t>
  </si>
  <si>
    <t xml:space="preserve">1546.25 hrs</t>
  </si>
  <si>
    <t xml:space="preserve">0.0 hrs</t>
  </si>
  <si>
    <t xml:space="preserve">✅ OK</t>
  </si>
  <si>
    <t xml:space="preserve">✅ Cuadra perfectamente</t>
  </si>
  <si>
    <t xml:space="preserve">Mes Febrero: B == C</t>
  </si>
  <si>
    <t xml:space="preserve">1470.03 hrs</t>
  </si>
  <si>
    <t xml:space="preserve">Mes Marzo: B == C</t>
  </si>
  <si>
    <t xml:space="preserve">639.3 hrs</t>
  </si>
  <si>
    <t xml:space="preserve">642.14 hrs</t>
  </si>
  <si>
    <t xml:space="preserve">2.84 hrs</t>
  </si>
  <si>
    <t xml:space="preserve">Diferencia de 2.84 hrs — revisar entradas de Marzo en ambas fuentes</t>
  </si>
  <si>
    <t xml:space="preserve">Operaciones en C tiene colaborador en A</t>
  </si>
  <si>
    <t xml:space="preserve">0 hrs (A)</t>
  </si>
  <si>
    <t xml:space="preserve">0.84 hrs (C)</t>
  </si>
  <si>
    <t xml:space="preserve">−0.84 hrs</t>
  </si>
  <si>
    <t xml:space="preserve">Departamento Operaciones sin colaborador asignado — identificar quién registró estas horas</t>
  </si>
  <si>
    <t xml:space="preserve">C. CRUCE HORAS POR DEPARTAMENTO — Doc. Departamentos vs. Reporte Colaboradores</t>
  </si>
  <si>
    <t xml:space="preserve">Hrs Doc Deptos (C)</t>
  </si>
  <si>
    <t xml:space="preserve">Hrs Reporte Colab (A)</t>
  </si>
  <si>
    <t xml:space="preserve">Diferencia (C−A)</t>
  </si>
  <si>
    <t xml:space="preserve">% Diferencia</t>
  </si>
  <si>
    <t xml:space="preserve">Posible Causa</t>
  </si>
  <si>
    <t xml:space="preserve">Horas de tráfico registradas sin colaborador asignado en sistema de tareas</t>
  </si>
  <si>
    <t xml:space="preserve">Colaboradores de mktg podrían registrar horas bajo otro depto en sistema</t>
  </si>
  <si>
    <t xml:space="preserve">Diferencia moderada — revisar horas internas de TI no asignadas a cliente</t>
  </si>
  <si>
    <t xml:space="preserve">Depto sin colaboradores en sistema — horas posiblemente de dirección</t>
  </si>
  <si>
    <t xml:space="preserve">Horas de contenido posiblemente reasignadas a otro depto en sistema</t>
  </si>
  <si>
    <t xml:space="preserve">Diferencia moderada — revisar horas de diseño no vinculadas a tarea</t>
  </si>
  <si>
    <t xml:space="preserve">Horas de SEO registradas bajo otro departamento en sistema de tareas</t>
  </si>
  <si>
    <t xml:space="preserve">NOTAS Y METODOLOGÍA DE VALIDACIÓN:</t>
  </si>
  <si>
    <t xml:space="preserve">  • Candado 1 (B≈C): las horas facturadas a clientes deben coincidir con las horas registradas por departamento para esos mismos clientes. Tolerancia: &lt; 1 hr.</t>
  </si>
  <si>
    <t xml:space="preserve">  • Candado 2 (A≈B): las horas registradas por colaboradores deben aproximarse a las horas facturadas a clientes. La diferencia puede explicarse por horas internas no asignadas a cliente.</t>
  </si>
  <si>
    <t xml:space="preserve">  • Candados 3–5 (mes a mes): validación mensual entre fuentes B y C. Enero y Febrero cuadran perfectamente (diferencia = 0). Marzo presenta una diferencia pendiente de revisión — ver celdas E y F de la sección B de esta hoja.</t>
  </si>
  <si>
    <t xml:space="preserve">  • Candado 6 (Operaciones): departamento con horas registradas en doc departamentos pero sin colaboradores en reporte de tareas. El valor exacto se puede verificar en hoja 21, celda E7.</t>
  </si>
  <si>
    <t xml:space="preserve">  • Sección C: diferencias entre fuentes A y C por departamento. Valores &gt; 5 hrs marcados en rojo — requieren revisión con cada líder de área.</t>
  </si>
  <si>
    <t xml:space="preserve">  • Recomendación general: alinear los periodos de exportación de todas las fuentes al mismo rango de fechas para validaciones más precisas.</t>
  </si>
</sst>
</file>

<file path=xl/styles.xml><?xml version="1.0" encoding="utf-8"?>
<styleSheet xmlns="http://schemas.openxmlformats.org/spreadsheetml/2006/main">
  <numFmts count="3">
    <numFmt numFmtId="164" formatCode="General"/>
    <numFmt numFmtId="165" formatCode="0.0%"/>
    <numFmt numFmtId="166" formatCode="0.00"/>
  </numFmts>
  <fonts count="26">
    <font>
      <sz val="11"/>
      <color theme="1"/>
      <name val="Calibri"/>
      <family val="0"/>
      <charset val="1"/>
    </font>
    <font>
      <sz val="10"/>
      <name val="Arial"/>
      <family val="0"/>
    </font>
    <font>
      <sz val="10"/>
      <name val="Arial"/>
      <family val="0"/>
    </font>
    <font>
      <sz val="10"/>
      <name val="Arial"/>
      <family val="0"/>
    </font>
    <font>
      <sz val="10"/>
      <color theme="1"/>
      <name val="Arial"/>
      <family val="0"/>
      <charset val="1"/>
    </font>
    <font>
      <b val="true"/>
      <sz val="18"/>
      <color rgb="FFFFFFFF"/>
      <name val="Arial"/>
      <family val="0"/>
      <charset val="1"/>
    </font>
    <font>
      <b val="true"/>
      <sz val="13"/>
      <color rgb="FFFFFFFF"/>
      <name val="Arial"/>
      <family val="0"/>
      <charset val="1"/>
    </font>
    <font>
      <b val="true"/>
      <sz val="10"/>
      <color rgb="FF1F4E79"/>
      <name val="Arial"/>
      <family val="0"/>
      <charset val="1"/>
    </font>
    <font>
      <sz val="10"/>
      <color rgb="FF000000"/>
      <name val="Arial"/>
      <family val="0"/>
      <charset val="1"/>
    </font>
    <font>
      <i val="true"/>
      <sz val="10"/>
      <color rgb="FF595959"/>
      <name val="Arial"/>
      <family val="0"/>
      <charset val="1"/>
    </font>
    <font>
      <b val="true"/>
      <sz val="11"/>
      <color rgb="FF1F4E79"/>
      <name val="Arial"/>
      <family val="0"/>
      <charset val="1"/>
    </font>
    <font>
      <i val="true"/>
      <sz val="9"/>
      <color rgb="FF1F4E79"/>
      <name val="Arial"/>
      <family val="0"/>
      <charset val="1"/>
    </font>
    <font>
      <b val="true"/>
      <sz val="11"/>
      <color rgb="FFFFFFFF"/>
      <name val="Arial"/>
      <family val="0"/>
      <charset val="1"/>
    </font>
    <font>
      <b val="true"/>
      <sz val="10"/>
      <name val="Lato"/>
      <family val="0"/>
      <charset val="1"/>
    </font>
    <font>
      <b val="true"/>
      <sz val="10"/>
      <color rgb="FF000000"/>
      <name val="Arial"/>
      <family val="0"/>
      <charset val="1"/>
    </font>
    <font>
      <b val="true"/>
      <sz val="9"/>
      <color rgb="FFFFFFFF"/>
      <name val="Lato"/>
      <family val="0"/>
      <charset val="1"/>
    </font>
    <font>
      <b val="true"/>
      <sz val="10"/>
      <color theme="1"/>
      <name val="Arial"/>
      <family val="0"/>
      <charset val="1"/>
    </font>
    <font>
      <i val="true"/>
      <sz val="9"/>
      <color rgb="FF595959"/>
      <name val="Arial"/>
      <family val="0"/>
      <charset val="1"/>
    </font>
    <font>
      <b val="true"/>
      <sz val="10"/>
      <color rgb="FFFFFFFF"/>
      <name val="Arial"/>
      <family val="0"/>
      <charset val="1"/>
    </font>
    <font>
      <i val="true"/>
      <sz val="9"/>
      <color rgb="FF375623"/>
      <name val="Arial"/>
      <family val="0"/>
      <charset val="1"/>
    </font>
    <font>
      <i val="true"/>
      <sz val="9"/>
      <color rgb="FFC00000"/>
      <name val="Arial"/>
      <family val="0"/>
      <charset val="1"/>
    </font>
    <font>
      <b val="true"/>
      <sz val="12"/>
      <color rgb="FFFFFFFF"/>
      <name val="Arial"/>
      <family val="0"/>
      <charset val="1"/>
    </font>
    <font>
      <sz val="11"/>
      <color theme="1"/>
      <name val="Arial"/>
      <family val="0"/>
      <charset val="1"/>
    </font>
    <font>
      <b val="true"/>
      <sz val="10"/>
      <color rgb="FF7030A0"/>
      <name val="Arial"/>
      <family val="0"/>
      <charset val="1"/>
    </font>
    <font>
      <b val="true"/>
      <sz val="10"/>
      <color rgb="FF9C0006"/>
      <name val="Arial"/>
      <family val="0"/>
      <charset val="1"/>
    </font>
    <font>
      <b val="true"/>
      <sz val="10"/>
      <color rgb="FF375623"/>
      <name val="Arial"/>
      <family val="0"/>
      <charset val="1"/>
    </font>
  </fonts>
  <fills count="25">
    <fill>
      <patternFill patternType="none"/>
    </fill>
    <fill>
      <patternFill patternType="gray125"/>
    </fill>
    <fill>
      <patternFill patternType="solid">
        <fgColor rgb="FFFFFFFF"/>
        <bgColor rgb="FFEBF3FB"/>
      </patternFill>
    </fill>
    <fill>
      <patternFill patternType="solid">
        <fgColor rgb="FF1F4E79"/>
        <bgColor rgb="FF1E3A5F"/>
      </patternFill>
    </fill>
    <fill>
      <patternFill patternType="solid">
        <fgColor rgb="FF2E75B6"/>
        <bgColor rgb="FF008080"/>
      </patternFill>
    </fill>
    <fill>
      <patternFill patternType="solid">
        <fgColor rgb="FFD6E4F0"/>
        <bgColor rgb="FFE2EFDA"/>
      </patternFill>
    </fill>
    <fill>
      <patternFill patternType="solid">
        <fgColor rgb="FFE07B00"/>
        <bgColor rgb="FFE26B0A"/>
      </patternFill>
    </fill>
    <fill>
      <patternFill patternType="solid">
        <fgColor rgb="FFEBF3FB"/>
        <bgColor rgb="FFE2EFDA"/>
      </patternFill>
    </fill>
    <fill>
      <patternFill patternType="solid">
        <fgColor rgb="FF1E3A5F"/>
        <bgColor rgb="FF203864"/>
      </patternFill>
    </fill>
    <fill>
      <patternFill patternType="solid">
        <fgColor rgb="FFB8860B"/>
        <bgColor rgb="FFE07B00"/>
      </patternFill>
    </fill>
    <fill>
      <patternFill patternType="solid">
        <fgColor rgb="FFC0392B"/>
        <bgColor rgb="FF843C0C"/>
      </patternFill>
    </fill>
    <fill>
      <patternFill patternType="solid">
        <fgColor rgb="FF6B6B6B"/>
        <bgColor rgb="FF595959"/>
      </patternFill>
    </fill>
    <fill>
      <patternFill patternType="solid">
        <fgColor rgb="FF1A7A4A"/>
        <bgColor rgb="FF008080"/>
      </patternFill>
    </fill>
    <fill>
      <patternFill patternType="solid">
        <fgColor rgb="FF375623"/>
        <bgColor rgb="FF444444"/>
      </patternFill>
    </fill>
    <fill>
      <patternFill patternType="solid">
        <fgColor rgb="FFE2EFDA"/>
        <bgColor rgb="FFEBF3FB"/>
      </patternFill>
    </fill>
    <fill>
      <patternFill patternType="solid">
        <fgColor rgb="FFC00000"/>
        <bgColor rgb="FF9C0006"/>
      </patternFill>
    </fill>
    <fill>
      <patternFill patternType="solid">
        <fgColor rgb="FFFCE4D6"/>
        <bgColor rgb="FFE2EFDA"/>
      </patternFill>
    </fill>
    <fill>
      <patternFill patternType="solid">
        <fgColor rgb="FFE26B0A"/>
        <bgColor rgb="FFE07B00"/>
      </patternFill>
    </fill>
    <fill>
      <patternFill patternType="solid">
        <fgColor rgb="FF843C0C"/>
        <bgColor rgb="FFC0392B"/>
      </patternFill>
    </fill>
    <fill>
      <patternFill patternType="solid">
        <fgColor rgb="FF3F3F76"/>
        <bgColor rgb="FF444444"/>
      </patternFill>
    </fill>
    <fill>
      <patternFill patternType="solid">
        <fgColor rgb="FF203864"/>
        <bgColor rgb="FF1E3A5F"/>
      </patternFill>
    </fill>
    <fill>
      <patternFill patternType="solid">
        <fgColor rgb="FF7030A0"/>
        <bgColor rgb="FF3F3F76"/>
      </patternFill>
    </fill>
    <fill>
      <patternFill patternType="solid">
        <fgColor rgb="FFFFEB9C"/>
        <bgColor rgb="FFFCE4D6"/>
      </patternFill>
    </fill>
    <fill>
      <patternFill patternType="solid">
        <fgColor rgb="FF444444"/>
        <bgColor rgb="FF555555"/>
      </patternFill>
    </fill>
    <fill>
      <patternFill patternType="solid">
        <fgColor rgb="FF555555"/>
        <bgColor rgb="FF595959"/>
      </patternFill>
    </fill>
  </fills>
  <borders count="3">
    <border diagonalUp="false" diagonalDown="false">
      <left/>
      <right/>
      <top/>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center" vertical="center"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4" borderId="0" xfId="0" applyFont="true" applyBorder="true" applyAlignment="true" applyProtection="false">
      <alignment horizontal="center" vertical="center" textRotation="0" wrapText="false" indent="0" shrinkToFit="false"/>
      <protection locked="true" hidden="false"/>
    </xf>
    <xf numFmtId="164" fontId="7" fillId="5" borderId="0" xfId="0" applyFont="true" applyBorder="false" applyAlignment="true" applyProtection="false">
      <alignment horizontal="center" vertical="center" textRotation="0" wrapText="false" indent="0" shrinkToFit="false"/>
      <protection locked="true" hidden="false"/>
    </xf>
    <xf numFmtId="164" fontId="7" fillId="2" borderId="0" xfId="0" applyFont="true" applyBorder="false" applyAlignment="true" applyProtection="false">
      <alignment horizontal="right" vertical="center" textRotation="0" wrapText="false" indent="0" shrinkToFit="false"/>
      <protection locked="true" hidden="false"/>
    </xf>
    <xf numFmtId="164" fontId="8" fillId="2" borderId="0" xfId="0" applyFont="true" applyBorder="false" applyAlignment="true" applyProtection="false">
      <alignment horizontal="left" vertical="center" textRotation="0" wrapText="true" indent="0" shrinkToFit="false"/>
      <protection locked="true" hidden="false"/>
    </xf>
    <xf numFmtId="164" fontId="8" fillId="2" borderId="0" xfId="0" applyFont="true" applyBorder="false" applyAlignment="true" applyProtection="false">
      <alignment horizontal="left" vertical="center" textRotation="0" wrapText="false" indent="0" shrinkToFit="false"/>
      <protection locked="true" hidden="false"/>
    </xf>
    <xf numFmtId="164" fontId="9" fillId="2" borderId="0" xfId="0" applyFont="true" applyBorder="false" applyAlignment="true" applyProtection="false">
      <alignment horizontal="left" vertical="center" textRotation="0" wrapText="true" indent="0" shrinkToFit="false"/>
      <protection locked="true" hidden="false"/>
    </xf>
    <xf numFmtId="164" fontId="7" fillId="5"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4" fontId="10" fillId="2" borderId="0" xfId="0" applyFont="true" applyBorder="true" applyAlignment="true" applyProtection="false">
      <alignment horizontal="left" vertical="center" textRotation="0" wrapText="false" indent="0" shrinkToFit="false"/>
      <protection locked="true" hidden="false"/>
    </xf>
    <xf numFmtId="164" fontId="7" fillId="5" borderId="0" xfId="0" applyFont="true" applyBorder="true" applyAlignment="true" applyProtection="false">
      <alignment horizontal="center" vertical="center" textRotation="0" wrapText="false" indent="0" shrinkToFit="false"/>
      <protection locked="true" hidden="false"/>
    </xf>
    <xf numFmtId="164" fontId="8" fillId="2" borderId="0" xfId="0" applyFont="true" applyBorder="true" applyAlignment="true" applyProtection="false">
      <alignment horizontal="left" vertical="center" textRotation="0" wrapText="false" indent="0" shrinkToFit="false"/>
      <protection locked="true" hidden="false"/>
    </xf>
    <xf numFmtId="164" fontId="8" fillId="5" borderId="0" xfId="0" applyFont="true" applyBorder="true" applyAlignment="true" applyProtection="false">
      <alignment horizontal="left" vertical="center" textRotation="0" wrapText="false" indent="0" shrinkToFit="false"/>
      <protection locked="true" hidden="false"/>
    </xf>
    <xf numFmtId="164" fontId="8" fillId="5" borderId="0" xfId="0" applyFont="true" applyBorder="false" applyAlignment="true" applyProtection="false">
      <alignment horizontal="left" vertical="center" textRotation="0" wrapText="false" indent="0" shrinkToFit="false"/>
      <protection locked="true" hidden="false"/>
    </xf>
    <xf numFmtId="164" fontId="6" fillId="3" borderId="0" xfId="0" applyFont="true" applyBorder="true" applyAlignment="true" applyProtection="false">
      <alignment horizontal="center" vertical="center" textRotation="0" wrapText="false" indent="0" shrinkToFit="false"/>
      <protection locked="true" hidden="false"/>
    </xf>
    <xf numFmtId="164" fontId="11" fillId="5" borderId="0" xfId="0" applyFont="true" applyBorder="true" applyAlignment="true" applyProtection="false">
      <alignment horizontal="center" vertical="center" textRotation="0" wrapText="fals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13" fillId="4" borderId="1" xfId="0" applyFont="true" applyBorder="true" applyAlignment="true" applyProtection="false">
      <alignment horizontal="center" vertical="center" textRotation="0" wrapText="true" indent="0" shrinkToFit="false"/>
      <protection locked="true" hidden="false"/>
    </xf>
    <xf numFmtId="164" fontId="14" fillId="2" borderId="2" xfId="0" applyFont="true" applyBorder="true" applyAlignment="true" applyProtection="false">
      <alignment horizontal="center" vertical="center" textRotation="0" wrapText="false" indent="0" shrinkToFit="false"/>
      <protection locked="true" hidden="false"/>
    </xf>
    <xf numFmtId="164" fontId="8" fillId="2" borderId="2" xfId="0" applyFont="true" applyBorder="true" applyAlignment="true" applyProtection="false">
      <alignment horizontal="left" vertical="center" textRotation="0" wrapText="false" indent="0" shrinkToFit="false"/>
      <protection locked="true" hidden="false"/>
    </xf>
    <xf numFmtId="164" fontId="8" fillId="2" borderId="2" xfId="0" applyFont="true" applyBorder="true" applyAlignment="true" applyProtection="false">
      <alignment horizontal="center" vertical="center" textRotation="0" wrapText="false" indent="0" shrinkToFit="false"/>
      <protection locked="true" hidden="false"/>
    </xf>
    <xf numFmtId="165" fontId="4" fillId="2" borderId="2" xfId="0" applyFont="true" applyBorder="true" applyAlignment="true" applyProtection="false">
      <alignment horizontal="center" vertical="center" textRotation="0" wrapText="false" indent="0" shrinkToFit="false"/>
      <protection locked="true" hidden="false"/>
    </xf>
    <xf numFmtId="164" fontId="15" fillId="6" borderId="2" xfId="0" applyFont="true" applyBorder="true" applyAlignment="true" applyProtection="false">
      <alignment horizontal="center" vertical="center" textRotation="0" wrapText="false" indent="0" shrinkToFit="false"/>
      <protection locked="true" hidden="false"/>
    </xf>
    <xf numFmtId="164" fontId="14" fillId="7" borderId="2" xfId="0" applyFont="true" applyBorder="true" applyAlignment="true" applyProtection="false">
      <alignment horizontal="center" vertical="center" textRotation="0" wrapText="false" indent="0" shrinkToFit="false"/>
      <protection locked="true" hidden="false"/>
    </xf>
    <xf numFmtId="164" fontId="8" fillId="7" borderId="2" xfId="0" applyFont="true" applyBorder="true" applyAlignment="true" applyProtection="false">
      <alignment horizontal="left" vertical="center" textRotation="0" wrapText="false" indent="0" shrinkToFit="false"/>
      <protection locked="true" hidden="false"/>
    </xf>
    <xf numFmtId="164" fontId="8" fillId="7" borderId="2" xfId="0" applyFont="true" applyBorder="true" applyAlignment="true" applyProtection="false">
      <alignment horizontal="center" vertical="center" textRotation="0" wrapText="false" indent="0" shrinkToFit="false"/>
      <protection locked="true" hidden="false"/>
    </xf>
    <xf numFmtId="165" fontId="4" fillId="7" borderId="2" xfId="0" applyFont="true" applyBorder="true" applyAlignment="true" applyProtection="false">
      <alignment horizontal="center" vertical="center" textRotation="0" wrapText="false" indent="0" shrinkToFit="false"/>
      <protection locked="true" hidden="false"/>
    </xf>
    <xf numFmtId="164" fontId="15" fillId="8" borderId="2" xfId="0" applyFont="true" applyBorder="true" applyAlignment="true" applyProtection="false">
      <alignment horizontal="center" vertical="center" textRotation="0" wrapText="false" indent="0" shrinkToFit="false"/>
      <protection locked="true" hidden="false"/>
    </xf>
    <xf numFmtId="164" fontId="15" fillId="9" borderId="2" xfId="0" applyFont="true" applyBorder="true" applyAlignment="true" applyProtection="false">
      <alignment horizontal="center" vertical="center" textRotation="0" wrapText="false" indent="0" shrinkToFit="false"/>
      <protection locked="true" hidden="false"/>
    </xf>
    <xf numFmtId="164" fontId="15" fillId="10" borderId="2" xfId="0" applyFont="true" applyBorder="true" applyAlignment="true" applyProtection="false">
      <alignment horizontal="center" vertical="center" textRotation="0" wrapText="false" indent="0" shrinkToFit="false"/>
      <protection locked="true" hidden="false"/>
    </xf>
    <xf numFmtId="164" fontId="15" fillId="11" borderId="2" xfId="0" applyFont="true" applyBorder="true" applyAlignment="true" applyProtection="false">
      <alignment horizontal="center" vertical="center" textRotation="0" wrapText="false" indent="0" shrinkToFit="false"/>
      <protection locked="true" hidden="false"/>
    </xf>
    <xf numFmtId="164" fontId="15" fillId="12" borderId="2" xfId="0" applyFont="true" applyBorder="true" applyAlignment="true" applyProtection="false">
      <alignment horizontal="center" vertical="center" textRotation="0" wrapText="false" indent="0" shrinkToFit="false"/>
      <protection locked="true" hidden="false"/>
    </xf>
    <xf numFmtId="164" fontId="14" fillId="2" borderId="0" xfId="0" applyFont="true" applyBorder="false" applyAlignment="true" applyProtection="false">
      <alignment horizontal="center" vertical="center" textRotation="0" wrapText="false" indent="0" shrinkToFit="false"/>
      <protection locked="true" hidden="false"/>
    </xf>
    <xf numFmtId="164" fontId="16" fillId="5" borderId="0" xfId="0" applyFont="true" applyBorder="false" applyAlignment="true" applyProtection="false">
      <alignment horizontal="left" vertical="center" textRotation="0" wrapText="false" indent="0" shrinkToFit="false"/>
      <protection locked="true" hidden="false"/>
    </xf>
    <xf numFmtId="164" fontId="16" fillId="5" borderId="0" xfId="0" applyFont="true" applyBorder="false" applyAlignment="true" applyProtection="false">
      <alignment horizontal="center" vertical="center" textRotation="0" wrapText="false" indent="0" shrinkToFit="false"/>
      <protection locked="true" hidden="false"/>
    </xf>
    <xf numFmtId="165" fontId="4" fillId="2" borderId="0" xfId="0" applyFont="true" applyBorder="false" applyAlignment="true" applyProtection="false">
      <alignment horizontal="center" vertical="center" textRotation="0" wrapText="false" indent="0" shrinkToFit="false"/>
      <protection locked="true" hidden="false"/>
    </xf>
    <xf numFmtId="164" fontId="8" fillId="2" borderId="0" xfId="0" applyFont="true" applyBorder="false" applyAlignment="true" applyProtection="false">
      <alignment horizontal="center" vertical="center" textRotation="0" wrapText="false" indent="0" shrinkToFit="false"/>
      <protection locked="true" hidden="false"/>
    </xf>
    <xf numFmtId="164" fontId="16" fillId="2" borderId="0" xfId="0" applyFont="true" applyBorder="false" applyAlignment="true" applyProtection="false">
      <alignment horizontal="general" vertical="bottom" textRotation="0" wrapText="false" indent="0" shrinkToFit="false"/>
      <protection locked="true" hidden="false"/>
    </xf>
    <xf numFmtId="164" fontId="16" fillId="2" borderId="0" xfId="0" applyFont="true" applyBorder="false" applyAlignment="true" applyProtection="false">
      <alignment horizontal="left" vertical="center" textRotation="0" wrapText="false" indent="0" shrinkToFit="false"/>
      <protection locked="true" hidden="false"/>
    </xf>
    <xf numFmtId="164" fontId="16" fillId="2" borderId="0" xfId="0" applyFont="true" applyBorder="false" applyAlignment="true" applyProtection="false">
      <alignment horizontal="center" vertical="center" textRotation="0" wrapText="false" indent="0" shrinkToFit="false"/>
      <protection locked="true" hidden="false"/>
    </xf>
    <xf numFmtId="164" fontId="7" fillId="0" borderId="0" xfId="0" applyFont="true" applyBorder="true" applyAlignment="true" applyProtection="false">
      <alignment horizontal="left" vertical="center" textRotation="0" wrapText="true" indent="0" shrinkToFit="false"/>
      <protection locked="true" hidden="false"/>
    </xf>
    <xf numFmtId="164" fontId="17" fillId="0" borderId="0" xfId="0" applyFont="true" applyBorder="true" applyAlignment="true" applyProtection="false">
      <alignment horizontal="left" vertical="center" textRotation="0" wrapText="true" indent="0" shrinkToFit="false"/>
      <protection locked="true" hidden="false"/>
    </xf>
    <xf numFmtId="164" fontId="6" fillId="13" borderId="0" xfId="0" applyFont="true" applyBorder="true" applyAlignment="true" applyProtection="false">
      <alignment horizontal="center" vertical="center" textRotation="0" wrapText="false" indent="0" shrinkToFit="false"/>
      <protection locked="true" hidden="false"/>
    </xf>
    <xf numFmtId="164" fontId="12" fillId="13" borderId="1" xfId="0" applyFont="true" applyBorder="true" applyAlignment="true" applyProtection="false">
      <alignment horizontal="center" vertical="center" textRotation="0" wrapText="true" indent="0" shrinkToFit="false"/>
      <protection locked="true" hidden="false"/>
    </xf>
    <xf numFmtId="164" fontId="14" fillId="14" borderId="2" xfId="0" applyFont="true" applyBorder="true" applyAlignment="true" applyProtection="false">
      <alignment horizontal="center" vertical="center" textRotation="0" wrapText="false" indent="0" shrinkToFit="false"/>
      <protection locked="true" hidden="false"/>
    </xf>
    <xf numFmtId="164" fontId="8" fillId="14" borderId="2" xfId="0" applyFont="true" applyBorder="true" applyAlignment="true" applyProtection="false">
      <alignment horizontal="left" vertical="center" textRotation="0" wrapText="false" indent="0" shrinkToFit="false"/>
      <protection locked="true" hidden="false"/>
    </xf>
    <xf numFmtId="164" fontId="8" fillId="14" borderId="2" xfId="0" applyFont="true" applyBorder="true" applyAlignment="true" applyProtection="false">
      <alignment horizontal="center" vertical="center" textRotation="0" wrapText="false" indent="0" shrinkToFit="false"/>
      <protection locked="true" hidden="false"/>
    </xf>
    <xf numFmtId="165" fontId="4" fillId="14" borderId="2" xfId="0" applyFont="true" applyBorder="true" applyAlignment="true" applyProtection="false">
      <alignment horizontal="center" vertical="center" textRotation="0" wrapText="false" indent="0" shrinkToFit="false"/>
      <protection locked="true" hidden="false"/>
    </xf>
    <xf numFmtId="164" fontId="6" fillId="15" borderId="0" xfId="0" applyFont="true" applyBorder="true" applyAlignment="true" applyProtection="false">
      <alignment horizontal="center" vertical="center" textRotation="0" wrapText="false" indent="0" shrinkToFit="false"/>
      <protection locked="true" hidden="false"/>
    </xf>
    <xf numFmtId="164" fontId="12" fillId="15" borderId="1" xfId="0" applyFont="true" applyBorder="true" applyAlignment="true" applyProtection="false">
      <alignment horizontal="center" vertical="center" textRotation="0" wrapText="true" indent="0" shrinkToFit="false"/>
      <protection locked="true" hidden="false"/>
    </xf>
    <xf numFmtId="164" fontId="14" fillId="16" borderId="2" xfId="0" applyFont="true" applyBorder="true" applyAlignment="true" applyProtection="false">
      <alignment horizontal="center" vertical="center" textRotation="0" wrapText="false" indent="0" shrinkToFit="false"/>
      <protection locked="true" hidden="false"/>
    </xf>
    <xf numFmtId="164" fontId="8" fillId="16" borderId="2" xfId="0" applyFont="true" applyBorder="true" applyAlignment="true" applyProtection="false">
      <alignment horizontal="left" vertical="center" textRotation="0" wrapText="false" indent="0" shrinkToFit="false"/>
      <protection locked="true" hidden="false"/>
    </xf>
    <xf numFmtId="164" fontId="8" fillId="16" borderId="2" xfId="0" applyFont="true" applyBorder="true" applyAlignment="true" applyProtection="false">
      <alignment horizontal="center" vertical="center" textRotation="0" wrapText="false" indent="0" shrinkToFit="false"/>
      <protection locked="true" hidden="false"/>
    </xf>
    <xf numFmtId="165" fontId="4" fillId="16" borderId="2" xfId="0" applyFont="true" applyBorder="true" applyAlignment="true" applyProtection="false">
      <alignment horizontal="center" vertical="center" textRotation="0" wrapText="false" indent="0" shrinkToFit="false"/>
      <protection locked="true" hidden="false"/>
    </xf>
    <xf numFmtId="164" fontId="6" fillId="17" borderId="0" xfId="0" applyFont="true" applyBorder="true" applyAlignment="true" applyProtection="false">
      <alignment horizontal="center" vertical="center" textRotation="0" wrapText="false" indent="0" shrinkToFit="false"/>
      <protection locked="true" hidden="false"/>
    </xf>
    <xf numFmtId="164" fontId="18" fillId="17" borderId="1" xfId="0" applyFont="true" applyBorder="true" applyAlignment="true" applyProtection="false">
      <alignment horizontal="center" vertical="center" textRotation="0" wrapText="true" indent="0" shrinkToFit="false"/>
      <protection locked="true" hidden="false"/>
    </xf>
    <xf numFmtId="164" fontId="16" fillId="5" borderId="0" xfId="0" applyFont="true" applyBorder="false" applyAlignment="true" applyProtection="false">
      <alignment horizontal="general" vertical="bottom" textRotation="0" wrapText="fals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19" fillId="14" borderId="0" xfId="0" applyFont="true" applyBorder="true" applyAlignment="true" applyProtection="false">
      <alignment horizontal="center" vertical="center" textRotation="0" wrapText="false" indent="0" shrinkToFit="false"/>
      <protection locked="true" hidden="false"/>
    </xf>
    <xf numFmtId="165" fontId="8" fillId="14" borderId="2" xfId="0" applyFont="true" applyBorder="true" applyAlignment="true" applyProtection="false">
      <alignment horizontal="center" vertical="center" textRotation="0" wrapText="false" indent="0" shrinkToFit="false"/>
      <protection locked="true" hidden="false"/>
    </xf>
    <xf numFmtId="166" fontId="8" fillId="14" borderId="2" xfId="0" applyFont="true" applyBorder="true" applyAlignment="true" applyProtection="false">
      <alignment horizontal="center" vertical="center" textRotation="0" wrapText="false" indent="0" shrinkToFit="false"/>
      <protection locked="true" hidden="false"/>
    </xf>
    <xf numFmtId="164" fontId="20" fillId="0" borderId="0" xfId="0" applyFont="true" applyBorder="true" applyAlignment="true" applyProtection="false">
      <alignment horizontal="left" vertical="center" textRotation="0" wrapText="true" indent="0" shrinkToFit="false"/>
      <protection locked="true" hidden="false"/>
    </xf>
    <xf numFmtId="164" fontId="17" fillId="0" borderId="0" xfId="0" applyFont="true" applyBorder="false" applyAlignment="true" applyProtection="false">
      <alignment horizontal="left" vertical="center" textRotation="0" wrapText="false" indent="0" shrinkToFit="false"/>
      <protection locked="true" hidden="false"/>
    </xf>
    <xf numFmtId="164" fontId="6" fillId="18" borderId="0" xfId="0" applyFont="true" applyBorder="true" applyAlignment="true" applyProtection="false">
      <alignment horizontal="center" vertical="center" textRotation="0" wrapText="false" indent="0" shrinkToFit="false"/>
      <protection locked="true" hidden="false"/>
    </xf>
    <xf numFmtId="164" fontId="12" fillId="18" borderId="1" xfId="0" applyFont="true" applyBorder="true" applyAlignment="true" applyProtection="false">
      <alignment horizontal="center" vertical="center" textRotation="0" wrapText="true" indent="0" shrinkToFit="false"/>
      <protection locked="true" hidden="false"/>
    </xf>
    <xf numFmtId="165" fontId="8" fillId="16" borderId="2" xfId="0" applyFont="true" applyBorder="true" applyAlignment="true" applyProtection="false">
      <alignment horizontal="center" vertical="center" textRotation="0" wrapText="false" indent="0" shrinkToFit="false"/>
      <protection locked="true" hidden="false"/>
    </xf>
    <xf numFmtId="166" fontId="8" fillId="16" borderId="2" xfId="0" applyFont="true" applyBorder="true" applyAlignment="true" applyProtection="false">
      <alignment horizontal="center" vertical="center" textRotation="0" wrapText="false" indent="0" shrinkToFit="false"/>
      <protection locked="true" hidden="false"/>
    </xf>
    <xf numFmtId="164" fontId="17" fillId="0" borderId="0" xfId="0" applyFont="true" applyBorder="false" applyAlignment="true" applyProtection="false">
      <alignment horizontal="left" vertical="center" textRotation="0" wrapText="true" indent="0" shrinkToFit="false"/>
      <protection locked="true" hidden="false"/>
    </xf>
    <xf numFmtId="164" fontId="21" fillId="19" borderId="0" xfId="0" applyFont="true" applyBorder="true" applyAlignment="true" applyProtection="false">
      <alignment horizontal="center" vertical="center" textRotation="0" wrapText="true" indent="0" shrinkToFit="false"/>
      <protection locked="true" hidden="false"/>
    </xf>
    <xf numFmtId="164" fontId="12" fillId="19" borderId="1" xfId="0" applyFont="true" applyBorder="true" applyAlignment="true" applyProtection="false">
      <alignment horizontal="center" vertical="center" textRotation="0" wrapText="true" indent="0" shrinkToFit="false"/>
      <protection locked="true" hidden="false"/>
    </xf>
    <xf numFmtId="165" fontId="22" fillId="2" borderId="2" xfId="0" applyFont="true" applyBorder="true" applyAlignment="true" applyProtection="false">
      <alignment horizontal="center" vertical="bottom" textRotation="0" wrapText="false" indent="0" shrinkToFit="false"/>
      <protection locked="true" hidden="false"/>
    </xf>
    <xf numFmtId="166" fontId="8" fillId="2" borderId="2" xfId="0" applyFont="true" applyBorder="true" applyAlignment="true" applyProtection="false">
      <alignment horizontal="center" vertical="center" textRotation="0" wrapText="false" indent="0" shrinkToFit="false"/>
      <protection locked="true" hidden="false"/>
    </xf>
    <xf numFmtId="164" fontId="6" fillId="20" borderId="0" xfId="0" applyFont="true" applyBorder="true" applyAlignment="true" applyProtection="false">
      <alignment horizontal="center" vertical="center" textRotation="0" wrapText="false" indent="0" shrinkToFit="false"/>
      <protection locked="true" hidden="false"/>
    </xf>
    <xf numFmtId="164" fontId="12" fillId="20" borderId="1" xfId="0" applyFont="true" applyBorder="true" applyAlignment="true" applyProtection="false">
      <alignment horizontal="center" vertical="center" textRotation="0" wrapText="true" indent="0" shrinkToFit="false"/>
      <protection locked="true" hidden="false"/>
    </xf>
    <xf numFmtId="164" fontId="14" fillId="2" borderId="2" xfId="0" applyFont="true" applyBorder="true" applyAlignment="true" applyProtection="false">
      <alignment horizontal="left" vertical="center" textRotation="0" wrapText="false" indent="0" shrinkToFit="false"/>
      <protection locked="true" hidden="false"/>
    </xf>
    <xf numFmtId="165" fontId="8" fillId="2" borderId="2" xfId="0" applyFont="true" applyBorder="true" applyAlignment="true" applyProtection="false">
      <alignment horizontal="center" vertical="center" textRotation="0" wrapText="false" indent="0" shrinkToFit="false"/>
      <protection locked="true" hidden="false"/>
    </xf>
    <xf numFmtId="164" fontId="14" fillId="7" borderId="2" xfId="0" applyFont="true" applyBorder="true" applyAlignment="true" applyProtection="false">
      <alignment horizontal="left" vertical="center" textRotation="0" wrapText="false" indent="0" shrinkToFit="false"/>
      <protection locked="true" hidden="false"/>
    </xf>
    <xf numFmtId="165" fontId="8" fillId="7" borderId="2" xfId="0" applyFont="true" applyBorder="true" applyAlignment="true" applyProtection="false">
      <alignment horizontal="center" vertical="center" textRotation="0" wrapText="false" indent="0" shrinkToFit="false"/>
      <protection locked="true" hidden="false"/>
    </xf>
    <xf numFmtId="166" fontId="8" fillId="7" borderId="2" xfId="0" applyFont="true" applyBorder="true" applyAlignment="true" applyProtection="false">
      <alignment horizontal="center" vertical="center"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6" fillId="21" borderId="0" xfId="0" applyFont="true" applyBorder="true" applyAlignment="true" applyProtection="false">
      <alignment horizontal="center" vertical="center" textRotation="0" wrapText="false" indent="0" shrinkToFit="false"/>
      <protection locked="true" hidden="false"/>
    </xf>
    <xf numFmtId="164" fontId="12" fillId="21" borderId="1" xfId="0" applyFont="true" applyBorder="true" applyAlignment="true" applyProtection="false">
      <alignment horizontal="center" vertical="center" textRotation="0" wrapText="true" indent="0" shrinkToFit="false"/>
      <protection locked="true" hidden="false"/>
    </xf>
    <xf numFmtId="164" fontId="23" fillId="2" borderId="0" xfId="0" applyFont="true" applyBorder="false" applyAlignment="true" applyProtection="false">
      <alignment horizontal="center" vertical="center" textRotation="0" wrapText="false" indent="0" shrinkToFit="false"/>
      <protection locked="true" hidden="false"/>
    </xf>
    <xf numFmtId="164" fontId="4" fillId="2" borderId="0" xfId="0" applyFont="true" applyBorder="false" applyAlignment="true" applyProtection="false">
      <alignment horizontal="left" vertical="center"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23" fillId="2" borderId="0" xfId="0" applyFont="true" applyBorder="false" applyAlignment="true" applyProtection="false">
      <alignment horizontal="left" vertical="center" textRotation="0" wrapText="true" indent="0" shrinkToFit="false"/>
      <protection locked="true" hidden="false"/>
    </xf>
    <xf numFmtId="164" fontId="17" fillId="2" borderId="0" xfId="0" applyFont="true" applyBorder="false" applyAlignment="true" applyProtection="false">
      <alignment horizontal="left" vertical="center" textRotation="0" wrapText="true" indent="0" shrinkToFit="false"/>
      <protection locked="true" hidden="false"/>
    </xf>
    <xf numFmtId="164" fontId="16" fillId="2" borderId="2" xfId="0" applyFont="true" applyBorder="true" applyAlignment="true" applyProtection="false">
      <alignment horizontal="center" vertical="center" textRotation="0" wrapText="false" indent="0" shrinkToFit="false"/>
      <protection locked="true" hidden="false"/>
    </xf>
    <xf numFmtId="164" fontId="4" fillId="2" borderId="2" xfId="0" applyFont="true" applyBorder="true" applyAlignment="true" applyProtection="false">
      <alignment horizontal="left" vertical="center" textRotation="0" wrapText="false" indent="0" shrinkToFit="false"/>
      <protection locked="true" hidden="false"/>
    </xf>
    <xf numFmtId="164" fontId="4" fillId="2" borderId="2" xfId="0" applyFont="true" applyBorder="true" applyAlignment="true" applyProtection="false">
      <alignment horizontal="center" vertical="center" textRotation="0" wrapText="false" indent="0" shrinkToFit="false"/>
      <protection locked="true" hidden="false"/>
    </xf>
    <xf numFmtId="164" fontId="16" fillId="7" borderId="2" xfId="0" applyFont="true" applyBorder="true" applyAlignment="true" applyProtection="false">
      <alignment horizontal="center" vertical="center" textRotation="0" wrapText="false" indent="0" shrinkToFit="false"/>
      <protection locked="true" hidden="false"/>
    </xf>
    <xf numFmtId="164" fontId="4" fillId="7" borderId="2" xfId="0" applyFont="true" applyBorder="true" applyAlignment="true" applyProtection="false">
      <alignment horizontal="left" vertical="center" textRotation="0" wrapText="false" indent="0" shrinkToFit="false"/>
      <protection locked="true" hidden="false"/>
    </xf>
    <xf numFmtId="164" fontId="4" fillId="7" borderId="2" xfId="0" applyFont="true" applyBorder="true" applyAlignment="true" applyProtection="false">
      <alignment horizontal="center" vertical="center" textRotation="0" wrapText="false" indent="0" shrinkToFit="false"/>
      <protection locked="true" hidden="false"/>
    </xf>
    <xf numFmtId="164" fontId="18" fillId="18" borderId="1" xfId="0" applyFont="true" applyBorder="true" applyAlignment="true" applyProtection="false">
      <alignment horizontal="center" vertical="center" textRotation="0" wrapText="true" indent="0" shrinkToFit="false"/>
      <protection locked="true" hidden="false"/>
    </xf>
    <xf numFmtId="164" fontId="16" fillId="16" borderId="2" xfId="0" applyFont="true" applyBorder="true" applyAlignment="true" applyProtection="false">
      <alignment horizontal="center" vertical="center" textRotation="0" wrapText="false" indent="0" shrinkToFit="false"/>
      <protection locked="true" hidden="false"/>
    </xf>
    <xf numFmtId="164" fontId="4" fillId="16" borderId="2" xfId="0" applyFont="true" applyBorder="true" applyAlignment="true" applyProtection="false">
      <alignment horizontal="left" vertical="center" textRotation="0" wrapText="false" indent="0" shrinkToFit="false"/>
      <protection locked="true" hidden="false"/>
    </xf>
    <xf numFmtId="164" fontId="4" fillId="16" borderId="2" xfId="0" applyFont="true" applyBorder="true" applyAlignment="true" applyProtection="false">
      <alignment horizontal="center" vertical="center" textRotation="0" wrapText="false" indent="0" shrinkToFit="false"/>
      <protection locked="true" hidden="false"/>
    </xf>
    <xf numFmtId="164" fontId="18" fillId="13" borderId="1" xfId="0" applyFont="true" applyBorder="true" applyAlignment="true" applyProtection="false">
      <alignment horizontal="center" vertical="center" textRotation="0" wrapText="true" indent="0" shrinkToFit="false"/>
      <protection locked="true" hidden="false"/>
    </xf>
    <xf numFmtId="164" fontId="16" fillId="14" borderId="2" xfId="0" applyFont="true" applyBorder="true" applyAlignment="true" applyProtection="false">
      <alignment horizontal="center" vertical="center" textRotation="0" wrapText="false" indent="0" shrinkToFit="false"/>
      <protection locked="true" hidden="false"/>
    </xf>
    <xf numFmtId="164" fontId="4" fillId="14" borderId="2" xfId="0" applyFont="true" applyBorder="true" applyAlignment="true" applyProtection="false">
      <alignment horizontal="left" vertical="center" textRotation="0" wrapText="false" indent="0" shrinkToFit="false"/>
      <protection locked="true" hidden="false"/>
    </xf>
    <xf numFmtId="164" fontId="4" fillId="14" borderId="2" xfId="0" applyFont="true" applyBorder="true" applyAlignment="true" applyProtection="false">
      <alignment horizontal="center" vertical="center" textRotation="0" wrapText="false" indent="0" shrinkToFit="false"/>
      <protection locked="true" hidden="false"/>
    </xf>
    <xf numFmtId="164" fontId="16" fillId="22" borderId="2" xfId="0" applyFont="true" applyBorder="true" applyAlignment="true" applyProtection="false">
      <alignment horizontal="center" vertical="center" textRotation="0" wrapText="false" indent="0" shrinkToFit="false"/>
      <protection locked="true" hidden="false"/>
    </xf>
    <xf numFmtId="164" fontId="4" fillId="22" borderId="2" xfId="0" applyFont="true" applyBorder="true" applyAlignment="true" applyProtection="false">
      <alignment horizontal="left" vertical="center" textRotation="0" wrapText="false" indent="0" shrinkToFit="false"/>
      <protection locked="true" hidden="false"/>
    </xf>
    <xf numFmtId="164" fontId="4" fillId="22" borderId="2" xfId="0" applyFont="true" applyBorder="true" applyAlignment="true" applyProtection="false">
      <alignment horizontal="center" vertical="center" textRotation="0" wrapText="false" indent="0" shrinkToFit="false"/>
      <protection locked="true" hidden="false"/>
    </xf>
    <xf numFmtId="164" fontId="18" fillId="4" borderId="1" xfId="0" applyFont="true" applyBorder="true" applyAlignment="true" applyProtection="false">
      <alignment horizontal="center" vertical="center" textRotation="0" wrapText="true" indent="0" shrinkToFit="false"/>
      <protection locked="true" hidden="false"/>
    </xf>
    <xf numFmtId="164" fontId="16" fillId="2" borderId="2" xfId="0" applyFont="true" applyBorder="true" applyAlignment="true" applyProtection="false">
      <alignment horizontal="left" vertical="center" textRotation="0" wrapText="false" indent="0" shrinkToFit="false"/>
      <protection locked="true" hidden="false"/>
    </xf>
    <xf numFmtId="164" fontId="16" fillId="7" borderId="2" xfId="0" applyFont="true" applyBorder="true" applyAlignment="true" applyProtection="false">
      <alignment horizontal="left" vertical="center" textRotation="0" wrapText="false" indent="0" shrinkToFit="false"/>
      <protection locked="true" hidden="false"/>
    </xf>
    <xf numFmtId="164" fontId="6" fillId="19" borderId="0" xfId="0" applyFont="true" applyBorder="true" applyAlignment="true" applyProtection="false">
      <alignment horizontal="center" vertical="center" textRotation="0" wrapText="false" indent="0" shrinkToFit="false"/>
      <protection locked="true" hidden="false"/>
    </xf>
    <xf numFmtId="164" fontId="18" fillId="19" borderId="1" xfId="0" applyFont="true" applyBorder="true" applyAlignment="true" applyProtection="false">
      <alignment horizontal="center" vertical="center" textRotation="0" wrapText="true" indent="0" shrinkToFit="false"/>
      <protection locked="true" hidden="false"/>
    </xf>
    <xf numFmtId="166" fontId="4" fillId="2" borderId="2" xfId="0" applyFont="true" applyBorder="true" applyAlignment="true" applyProtection="false">
      <alignment horizontal="center" vertical="center" textRotation="0" wrapText="false" indent="0" shrinkToFit="false"/>
      <protection locked="true" hidden="false"/>
    </xf>
    <xf numFmtId="166" fontId="4" fillId="7" borderId="2" xfId="0" applyFont="true" applyBorder="true" applyAlignment="true" applyProtection="false">
      <alignment horizontal="center" vertical="center" textRotation="0" wrapText="false" indent="0" shrinkToFit="false"/>
      <protection locked="true" hidden="false"/>
    </xf>
    <xf numFmtId="164" fontId="18" fillId="20" borderId="1" xfId="0" applyFont="true" applyBorder="true" applyAlignment="true" applyProtection="false">
      <alignment horizontal="center" vertical="center" textRotation="0" wrapText="true" indent="0" shrinkToFit="false"/>
      <protection locked="true" hidden="false"/>
    </xf>
    <xf numFmtId="164" fontId="18" fillId="21" borderId="1" xfId="0" applyFont="true" applyBorder="true" applyAlignment="true" applyProtection="false">
      <alignment horizontal="center" vertical="center" textRotation="0" wrapText="true" indent="0" shrinkToFit="false"/>
      <protection locked="true" hidden="false"/>
    </xf>
    <xf numFmtId="164" fontId="18" fillId="15" borderId="1" xfId="0" applyFont="true" applyBorder="true" applyAlignment="true" applyProtection="false">
      <alignment horizontal="center" vertical="center" textRotation="0" wrapText="true" indent="0" shrinkToFit="false"/>
      <protection locked="true" hidden="false"/>
    </xf>
    <xf numFmtId="166" fontId="4" fillId="16" borderId="2" xfId="0" applyFont="true" applyBorder="true" applyAlignment="true" applyProtection="false">
      <alignment horizontal="center" vertical="center" textRotation="0" wrapText="false" indent="0" shrinkToFit="false"/>
      <protection locked="true" hidden="false"/>
    </xf>
    <xf numFmtId="164" fontId="12" fillId="23" borderId="0" xfId="0" applyFont="true" applyBorder="true" applyAlignment="true" applyProtection="false">
      <alignment horizontal="left" vertical="center" textRotation="0" wrapText="false" indent="0" shrinkToFit="false"/>
      <protection locked="true" hidden="false"/>
    </xf>
    <xf numFmtId="164" fontId="18" fillId="24" borderId="1" xfId="0" applyFont="true" applyBorder="true" applyAlignment="true" applyProtection="false">
      <alignment horizontal="center" vertical="center" textRotation="0" wrapText="true" indent="0" shrinkToFit="false"/>
      <protection locked="true" hidden="false"/>
    </xf>
    <xf numFmtId="164" fontId="24" fillId="16" borderId="2" xfId="0" applyFont="true" applyBorder="true" applyAlignment="true" applyProtection="false">
      <alignment horizontal="center" vertical="center" textRotation="0" wrapText="false" indent="0" shrinkToFit="false"/>
      <protection locked="true" hidden="false"/>
    </xf>
    <xf numFmtId="164" fontId="25" fillId="14" borderId="2" xfId="0" applyFont="true" applyBorder="true" applyAlignment="true" applyProtection="false">
      <alignment horizontal="center" vertical="center" textRotation="0" wrapText="false" indent="0" shrinkToFit="false"/>
      <protection locked="true" hidden="false"/>
    </xf>
    <xf numFmtId="164" fontId="14" fillId="16" borderId="2" xfId="0" applyFont="true" applyBorder="true" applyAlignment="true" applyProtection="false">
      <alignment horizontal="left" vertical="center" textRotation="0" wrapText="false" indent="0" shrinkToFit="false"/>
      <protection locked="true" hidden="false"/>
    </xf>
    <xf numFmtId="164" fontId="14" fillId="14" borderId="2"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4">
    <dxf>
      <fill>
        <patternFill patternType="solid">
          <fgColor rgb="FF2E75B6"/>
          <bgColor rgb="FF000000"/>
        </patternFill>
      </fill>
    </dxf>
    <dxf>
      <fill>
        <patternFill patternType="solid">
          <fgColor rgb="FFEBF3FB"/>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1A7A4A"/>
          <bgColor rgb="FF000000"/>
        </patternFill>
      </fill>
    </dxf>
    <dxf>
      <fill>
        <patternFill patternType="solid">
          <fgColor rgb="FF1E3A5F"/>
          <bgColor rgb="FF000000"/>
        </patternFill>
      </fill>
    </dxf>
    <dxf>
      <fill>
        <patternFill patternType="solid">
          <fgColor rgb="FF6B6B6B"/>
          <bgColor rgb="FF000000"/>
        </patternFill>
      </fill>
    </dxf>
    <dxf>
      <fill>
        <patternFill patternType="solid">
          <fgColor rgb="FFB8860B"/>
          <bgColor rgb="FF000000"/>
        </patternFill>
      </fill>
    </dxf>
    <dxf>
      <fill>
        <patternFill patternType="solid">
          <fgColor rgb="FFC0392B"/>
          <bgColor rgb="FF000000"/>
        </patternFill>
      </fill>
    </dxf>
    <dxf>
      <fill>
        <patternFill patternType="solid">
          <fgColor rgb="FFE07B00"/>
          <bgColor rgb="FF000000"/>
        </patternFill>
      </fill>
    </dxf>
    <dxf>
      <fill>
        <patternFill patternType="solid">
          <bgColor rgb="FF000000"/>
        </patternFill>
      </fill>
    </dxf>
    <dxf>
      <fill>
        <patternFill patternType="solid">
          <fgColor rgb="FF375623"/>
          <bgColor rgb="FF000000"/>
        </patternFill>
      </fill>
    </dxf>
    <dxf>
      <fill>
        <patternFill patternType="solid">
          <fgColor rgb="FFE2EFDA"/>
          <bgColor rgb="FF000000"/>
        </patternFill>
      </fill>
    </dxf>
    <dxf>
      <fill>
        <patternFill patternType="solid">
          <fgColor rgb="FFC00000"/>
          <bgColor rgb="FF000000"/>
        </patternFill>
      </fill>
    </dxf>
    <dxf>
      <fill>
        <patternFill patternType="solid">
          <fgColor rgb="FFFCE4D6"/>
          <bgColor rgb="FF000000"/>
        </patternFill>
      </fill>
    </dxf>
    <dxf>
      <fill>
        <patternFill patternType="solid">
          <fgColor rgb="FFE26B0A"/>
          <bgColor rgb="FF000000"/>
        </patternFill>
      </fill>
    </dxf>
    <dxf>
      <fill>
        <patternFill patternType="solid">
          <fgColor rgb="FF1F4E79"/>
          <bgColor rgb="FF000000"/>
        </patternFill>
      </fill>
    </dxf>
    <dxf>
      <fill>
        <patternFill patternType="solid">
          <fgColor rgb="FF843C0C"/>
          <bgColor rgb="FF000000"/>
        </patternFill>
      </fill>
    </dxf>
    <dxf>
      <fill>
        <patternFill patternType="solid">
          <fgColor rgb="FF3F3F76"/>
          <bgColor rgb="FF000000"/>
        </patternFill>
      </fill>
    </dxf>
    <dxf>
      <fill>
        <patternFill patternType="solid">
          <fgColor rgb="FFD6E4F0"/>
          <bgColor rgb="FF000000"/>
        </patternFill>
      </fill>
    </dxf>
    <dxf>
      <fill>
        <patternFill patternType="solid">
          <fgColor rgb="FF203864"/>
          <bgColor rgb="FF000000"/>
        </patternFill>
      </fill>
    </dxf>
    <dxf>
      <fill>
        <patternFill patternType="solid">
          <fgColor rgb="FF595959"/>
          <bgColor rgb="FF000000"/>
        </patternFill>
      </fill>
    </dxf>
    <dxf>
      <fill>
        <patternFill patternType="solid">
          <fgColor rgb="FF7030A0"/>
          <bgColor rgb="FF000000"/>
        </patternFill>
      </fill>
    </dxf>
    <dxf>
      <fill>
        <patternFill patternType="solid">
          <fgColor rgb="FFFFEB9C"/>
          <bgColor rgb="FF000000"/>
        </patternFill>
      </fill>
    </dxf>
  </dxfs>
  <colors>
    <indexedColors>
      <rgbColor rgb="FF000000"/>
      <rgbColor rgb="FFFFFFFF"/>
      <rgbColor rgb="FFC00000"/>
      <rgbColor rgb="FF00FF00"/>
      <rgbColor rgb="FF0000FF"/>
      <rgbColor rgb="FFFFFF00"/>
      <rgbColor rgb="FFFF00FF"/>
      <rgbColor rgb="FF00FFFF"/>
      <rgbColor rgb="FF9C0006"/>
      <rgbColor rgb="FF008000"/>
      <rgbColor rgb="FF000080"/>
      <rgbColor rgb="FFB8860B"/>
      <rgbColor rgb="FF800080"/>
      <rgbColor rgb="FF1A7A4A"/>
      <rgbColor rgb="FFCCCCCC"/>
      <rgbColor rgb="FF595959"/>
      <rgbColor rgb="FF9999FF"/>
      <rgbColor rgb="FFC0392B"/>
      <rgbColor rgb="FFFCE4D6"/>
      <rgbColor rgb="FFEBF3FB"/>
      <rgbColor rgb="FF660066"/>
      <rgbColor rgb="FFFF8080"/>
      <rgbColor rgb="FF1F4E79"/>
      <rgbColor rgb="FFD6E4F0"/>
      <rgbColor rgb="FF000080"/>
      <rgbColor rgb="FFFF00FF"/>
      <rgbColor rgb="FFFFFF00"/>
      <rgbColor rgb="FF00FFFF"/>
      <rgbColor rgb="FF800080"/>
      <rgbColor rgb="FF800000"/>
      <rgbColor rgb="FF008080"/>
      <rgbColor rgb="FF0000FF"/>
      <rgbColor rgb="FF00CCFF"/>
      <rgbColor rgb="FFCCFFFF"/>
      <rgbColor rgb="FFE2EFDA"/>
      <rgbColor rgb="FFFFEB9C"/>
      <rgbColor rgb="FF99CCFF"/>
      <rgbColor rgb="FFFF99CC"/>
      <rgbColor rgb="FFCC99FF"/>
      <rgbColor rgb="FFFFCC99"/>
      <rgbColor rgb="FF2E75B6"/>
      <rgbColor rgb="FF33CCCC"/>
      <rgbColor rgb="FF99CC00"/>
      <rgbColor rgb="FFFFCC00"/>
      <rgbColor rgb="FFE07B00"/>
      <rgbColor rgb="FFE26B0A"/>
      <rgbColor rgb="FF6B6B6B"/>
      <rgbColor rgb="FF969696"/>
      <rgbColor rgb="FF1E3A5F"/>
      <rgbColor rgb="FF555555"/>
      <rgbColor rgb="FF203864"/>
      <rgbColor rgb="FF375623"/>
      <rgbColor rgb="FF843C0C"/>
      <rgbColor rgb="FF7030A0"/>
      <rgbColor rgb="FF3F3F76"/>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_rels/sheet13.xml.rels><?xml version="1.0" encoding="UTF-8"?>
<Relationships xmlns="http://schemas.openxmlformats.org/package/2006/relationships"><Relationship Id="rId1" Type="http://schemas.openxmlformats.org/officeDocument/2006/relationships/drawing" Target="../drawings/drawing12.xml"/>
</Relationships>
</file>

<file path=xl/worksheets/_rels/sheet14.xml.rels><?xml version="1.0" encoding="UTF-8"?>
<Relationships xmlns="http://schemas.openxmlformats.org/package/2006/relationships"><Relationship Id="rId1" Type="http://schemas.openxmlformats.org/officeDocument/2006/relationships/drawing" Target="../drawings/drawing13.xml"/>
</Relationships>
</file>

<file path=xl/worksheets/_rels/sheet15.xml.rels><?xml version="1.0" encoding="UTF-8"?>
<Relationships xmlns="http://schemas.openxmlformats.org/package/2006/relationships"><Relationship Id="rId1" Type="http://schemas.openxmlformats.org/officeDocument/2006/relationships/drawing" Target="../drawings/drawing14.xml"/>
</Relationships>
</file>

<file path=xl/worksheets/_rels/sheet17.xml.rels><?xml version="1.0" encoding="UTF-8"?>
<Relationships xmlns="http://schemas.openxmlformats.org/package/2006/relationships"><Relationship Id="rId1" Type="http://schemas.openxmlformats.org/officeDocument/2006/relationships/drawing" Target="../drawings/drawing15.xml"/>
</Relationships>
</file>

<file path=xl/worksheets/_rels/sheet18.xml.rels><?xml version="1.0" encoding="UTF-8"?>
<Relationships xmlns="http://schemas.openxmlformats.org/package/2006/relationships"><Relationship Id="rId1" Type="http://schemas.openxmlformats.org/officeDocument/2006/relationships/drawing" Target="../drawings/drawing16.xml"/>
</Relationships>
</file>

<file path=xl/worksheets/_rels/sheet19.xml.rels><?xml version="1.0" encoding="UTF-8"?>
<Relationships xmlns="http://schemas.openxmlformats.org/package/2006/relationships"><Relationship Id="rId1" Type="http://schemas.openxmlformats.org/officeDocument/2006/relationships/drawing" Target="../drawings/drawing17.xml"/>
</Relationships>
</file>

<file path=xl/worksheets/_rels/sheet20.xml.rels><?xml version="1.0" encoding="UTF-8"?>
<Relationships xmlns="http://schemas.openxmlformats.org/package/2006/relationships"><Relationship Id="rId1" Type="http://schemas.openxmlformats.org/officeDocument/2006/relationships/drawing" Target="../drawings/drawing18.xml"/>
</Relationships>
</file>

<file path=xl/worksheets/_rels/sheet21.xml.rels><?xml version="1.0" encoding="UTF-8"?>
<Relationships xmlns="http://schemas.openxmlformats.org/package/2006/relationships"><Relationship Id="rId1" Type="http://schemas.openxmlformats.org/officeDocument/2006/relationships/drawing" Target="../drawings/drawing19.xml"/>
</Relationships>
</file>

<file path=xl/worksheets/_rels/sheet22.xml.rels><?xml version="1.0" encoding="UTF-8"?>
<Relationships xmlns="http://schemas.openxmlformats.org/package/2006/relationships"><Relationship Id="rId1" Type="http://schemas.openxmlformats.org/officeDocument/2006/relationships/drawing" Target="../drawings/drawing20.xml"/>
</Relationships>
</file>

<file path=xl/worksheets/_rels/sheet23.xml.rels><?xml version="1.0" encoding="UTF-8"?>
<Relationships xmlns="http://schemas.openxmlformats.org/package/2006/relationships"><Relationship Id="rId1" Type="http://schemas.openxmlformats.org/officeDocument/2006/relationships/drawing" Target="../drawings/drawing2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4"/>
    <col collapsed="false" customWidth="true" hidden="false" outlineLevel="0" max="2" min="2" style="1" width="45"/>
    <col collapsed="false" customWidth="true" hidden="false" outlineLevel="0" max="3" min="3" style="1" width="77.29"/>
    <col collapsed="false" customWidth="true" hidden="false" outlineLevel="0" max="6" min="4" style="1" width="3"/>
  </cols>
  <sheetData>
    <row r="1" customFormat="false" ht="7.5" hidden="false" customHeight="true" outlineLevel="0" collapsed="false">
      <c r="A1" s="2"/>
      <c r="B1" s="2"/>
      <c r="C1" s="2"/>
      <c r="D1" s="2"/>
      <c r="E1" s="2"/>
      <c r="G1" s="1"/>
      <c r="H1" s="1"/>
      <c r="I1" s="1"/>
      <c r="J1" s="1"/>
      <c r="K1" s="1"/>
      <c r="L1" s="1"/>
      <c r="M1" s="1"/>
      <c r="N1" s="1"/>
      <c r="O1" s="1"/>
      <c r="P1" s="1"/>
      <c r="Q1" s="1"/>
      <c r="R1" s="1"/>
      <c r="S1" s="1"/>
      <c r="T1" s="1"/>
      <c r="U1" s="1"/>
      <c r="V1" s="1"/>
      <c r="W1" s="1"/>
      <c r="X1" s="1"/>
      <c r="Y1" s="1"/>
      <c r="Z1" s="1"/>
    </row>
    <row r="2" customFormat="false" ht="43.5" hidden="false" customHeight="true" outlineLevel="0" collapsed="false">
      <c r="A2" s="2"/>
      <c r="B2" s="3"/>
      <c r="C2" s="4"/>
      <c r="D2" s="2"/>
      <c r="E2" s="2"/>
      <c r="F2" s="4"/>
      <c r="G2" s="4"/>
      <c r="H2" s="4"/>
      <c r="I2" s="4"/>
      <c r="J2" s="4"/>
      <c r="K2" s="4"/>
      <c r="L2" s="4"/>
      <c r="M2" s="4"/>
      <c r="N2" s="4"/>
      <c r="O2" s="4"/>
      <c r="P2" s="4"/>
      <c r="Q2" s="4"/>
      <c r="R2" s="4"/>
      <c r="S2" s="4"/>
      <c r="T2" s="4"/>
      <c r="U2" s="4"/>
      <c r="V2" s="4"/>
      <c r="W2" s="4"/>
      <c r="X2" s="4"/>
      <c r="Y2" s="4"/>
      <c r="Z2" s="4"/>
    </row>
    <row r="3" customFormat="false" ht="43.5" hidden="false" customHeight="true" outlineLevel="0" collapsed="false">
      <c r="A3" s="2"/>
      <c r="B3" s="5" t="s">
        <v>0</v>
      </c>
      <c r="C3" s="5"/>
      <c r="D3" s="2"/>
      <c r="E3" s="2"/>
      <c r="G3" s="1"/>
      <c r="H3" s="1"/>
      <c r="I3" s="1"/>
      <c r="J3" s="1"/>
      <c r="K3" s="1"/>
      <c r="L3" s="1"/>
      <c r="M3" s="1"/>
      <c r="N3" s="1"/>
      <c r="O3" s="1"/>
      <c r="P3" s="1"/>
      <c r="Q3" s="1"/>
      <c r="R3" s="1"/>
      <c r="S3" s="1"/>
      <c r="T3" s="1"/>
      <c r="U3" s="1"/>
      <c r="V3" s="1"/>
      <c r="W3" s="1"/>
      <c r="X3" s="1"/>
      <c r="Y3" s="1"/>
      <c r="Z3" s="1"/>
    </row>
    <row r="4" customFormat="false" ht="30" hidden="false" customHeight="true" outlineLevel="0" collapsed="false">
      <c r="A4" s="2"/>
      <c r="B4" s="6" t="s">
        <v>1</v>
      </c>
      <c r="C4" s="6"/>
      <c r="D4" s="2"/>
      <c r="E4" s="2"/>
      <c r="G4" s="1"/>
      <c r="H4" s="1"/>
      <c r="I4" s="1"/>
      <c r="J4" s="1"/>
      <c r="K4" s="1"/>
      <c r="L4" s="1"/>
      <c r="M4" s="1"/>
      <c r="N4" s="1"/>
      <c r="O4" s="1"/>
      <c r="P4" s="1"/>
      <c r="Q4" s="1"/>
      <c r="R4" s="1"/>
      <c r="S4" s="1"/>
      <c r="T4" s="1"/>
      <c r="U4" s="1"/>
      <c r="V4" s="1"/>
      <c r="W4" s="1"/>
      <c r="X4" s="1"/>
      <c r="Y4" s="1"/>
      <c r="Z4" s="1"/>
    </row>
    <row r="5" customFormat="false" ht="7.5" hidden="false" customHeight="true" outlineLevel="0" collapsed="false">
      <c r="A5" s="2"/>
      <c r="B5" s="7"/>
      <c r="D5" s="2"/>
      <c r="E5" s="2"/>
      <c r="G5" s="1"/>
      <c r="H5" s="1"/>
      <c r="I5" s="1"/>
      <c r="J5" s="1"/>
      <c r="K5" s="1"/>
      <c r="L5" s="1"/>
      <c r="M5" s="1"/>
      <c r="N5" s="1"/>
      <c r="O5" s="1"/>
      <c r="P5" s="1"/>
      <c r="Q5" s="1"/>
      <c r="R5" s="1"/>
      <c r="S5" s="1"/>
      <c r="T5" s="1"/>
      <c r="U5" s="1"/>
      <c r="V5" s="1"/>
      <c r="W5" s="1"/>
      <c r="X5" s="1"/>
      <c r="Y5" s="1"/>
      <c r="Z5" s="1"/>
    </row>
    <row r="6" customFormat="false" ht="19.5" hidden="false" customHeight="true" outlineLevel="0" collapsed="false">
      <c r="A6" s="2"/>
      <c r="B6" s="8" t="s">
        <v>2</v>
      </c>
      <c r="C6" s="9" t="s">
        <v>3</v>
      </c>
      <c r="D6" s="2"/>
      <c r="E6" s="2"/>
      <c r="G6" s="1"/>
      <c r="H6" s="1"/>
      <c r="I6" s="1"/>
      <c r="J6" s="1"/>
      <c r="K6" s="1"/>
      <c r="L6" s="1"/>
      <c r="M6" s="1"/>
      <c r="N6" s="1"/>
      <c r="O6" s="1"/>
      <c r="P6" s="1"/>
      <c r="Q6" s="1"/>
      <c r="R6" s="1"/>
      <c r="S6" s="1"/>
      <c r="T6" s="1"/>
      <c r="U6" s="1"/>
      <c r="V6" s="1"/>
      <c r="W6" s="1"/>
      <c r="X6" s="1"/>
      <c r="Y6" s="1"/>
      <c r="Z6" s="1"/>
    </row>
    <row r="7" customFormat="false" ht="19.5" hidden="false" customHeight="true" outlineLevel="0" collapsed="false">
      <c r="A7" s="2"/>
      <c r="B7" s="8" t="s">
        <v>4</v>
      </c>
      <c r="C7" s="9" t="s">
        <v>5</v>
      </c>
      <c r="D7" s="2"/>
      <c r="E7" s="2"/>
      <c r="G7" s="1"/>
      <c r="H7" s="1"/>
      <c r="I7" s="1"/>
      <c r="J7" s="1"/>
      <c r="K7" s="1"/>
      <c r="L7" s="1"/>
      <c r="M7" s="1"/>
      <c r="N7" s="1"/>
      <c r="O7" s="1"/>
      <c r="P7" s="1"/>
      <c r="Q7" s="1"/>
      <c r="R7" s="1"/>
      <c r="S7" s="1"/>
      <c r="T7" s="1"/>
      <c r="U7" s="1"/>
      <c r="V7" s="1"/>
      <c r="W7" s="1"/>
      <c r="X7" s="1"/>
      <c r="Y7" s="1"/>
      <c r="Z7" s="1"/>
    </row>
    <row r="8" customFormat="false" ht="19.5" hidden="false" customHeight="true" outlineLevel="0" collapsed="false">
      <c r="A8" s="2"/>
      <c r="B8" s="8" t="s">
        <v>6</v>
      </c>
      <c r="C8" s="9" t="s">
        <v>7</v>
      </c>
      <c r="D8" s="2"/>
      <c r="E8" s="2"/>
      <c r="G8" s="1"/>
      <c r="H8" s="1"/>
      <c r="I8" s="1"/>
      <c r="J8" s="1"/>
      <c r="K8" s="1"/>
      <c r="L8" s="1"/>
      <c r="M8" s="1"/>
      <c r="N8" s="1"/>
      <c r="O8" s="1"/>
      <c r="P8" s="1"/>
      <c r="Q8" s="1"/>
      <c r="R8" s="1"/>
      <c r="S8" s="1"/>
      <c r="T8" s="1"/>
      <c r="U8" s="1"/>
      <c r="V8" s="1"/>
      <c r="W8" s="1"/>
      <c r="X8" s="1"/>
      <c r="Y8" s="1"/>
      <c r="Z8" s="1"/>
    </row>
    <row r="9" customFormat="false" ht="19.5" hidden="false" customHeight="true" outlineLevel="0" collapsed="false">
      <c r="A9" s="2"/>
      <c r="B9" s="8" t="s">
        <v>8</v>
      </c>
      <c r="C9" s="9" t="s">
        <v>9</v>
      </c>
      <c r="D9" s="2"/>
      <c r="E9" s="2"/>
      <c r="G9" s="1"/>
      <c r="H9" s="1"/>
      <c r="I9" s="1"/>
      <c r="J9" s="1"/>
      <c r="K9" s="1"/>
      <c r="L9" s="1"/>
      <c r="M9" s="1"/>
      <c r="N9" s="1"/>
      <c r="O9" s="1"/>
      <c r="P9" s="1"/>
      <c r="Q9" s="1"/>
      <c r="R9" s="1"/>
      <c r="S9" s="1"/>
      <c r="T9" s="1"/>
      <c r="U9" s="1"/>
      <c r="V9" s="1"/>
      <c r="W9" s="1"/>
      <c r="X9" s="1"/>
      <c r="Y9" s="1"/>
      <c r="Z9" s="1"/>
    </row>
    <row r="10" customFormat="false" ht="19.5" hidden="false" customHeight="true" outlineLevel="0" collapsed="false">
      <c r="A10" s="2"/>
      <c r="B10" s="8" t="s">
        <v>10</v>
      </c>
      <c r="C10" s="9" t="s">
        <v>9</v>
      </c>
      <c r="D10" s="2"/>
      <c r="E10" s="2"/>
      <c r="G10" s="1"/>
      <c r="H10" s="1"/>
      <c r="I10" s="1"/>
      <c r="J10" s="1"/>
      <c r="K10" s="1"/>
      <c r="L10" s="1"/>
      <c r="M10" s="1"/>
      <c r="N10" s="1"/>
      <c r="O10" s="1"/>
      <c r="P10" s="1"/>
      <c r="Q10" s="1"/>
      <c r="R10" s="1"/>
      <c r="S10" s="1"/>
      <c r="T10" s="1"/>
      <c r="U10" s="1"/>
      <c r="V10" s="1"/>
      <c r="W10" s="1"/>
      <c r="X10" s="1"/>
      <c r="Y10" s="1"/>
      <c r="Z10" s="1"/>
    </row>
    <row r="11" customFormat="false" ht="6" hidden="false" customHeight="true" outlineLevel="0" collapsed="false">
      <c r="A11" s="2"/>
      <c r="B11" s="7"/>
      <c r="D11" s="2"/>
      <c r="E11" s="2"/>
      <c r="G11" s="1"/>
      <c r="H11" s="1"/>
      <c r="I11" s="1"/>
      <c r="J11" s="1"/>
      <c r="K11" s="1"/>
      <c r="L11" s="1"/>
      <c r="M11" s="1"/>
      <c r="N11" s="1"/>
      <c r="O11" s="1"/>
      <c r="P11" s="1"/>
      <c r="Q11" s="1"/>
      <c r="R11" s="1"/>
      <c r="S11" s="1"/>
      <c r="T11" s="1"/>
      <c r="U11" s="1"/>
      <c r="V11" s="1"/>
      <c r="W11" s="1"/>
      <c r="X11" s="1"/>
      <c r="Y11" s="1"/>
      <c r="Z11" s="1"/>
    </row>
    <row r="12" customFormat="false" ht="19.5" hidden="false" customHeight="true" outlineLevel="0" collapsed="false">
      <c r="A12" s="2"/>
      <c r="B12" s="8" t="s">
        <v>11</v>
      </c>
      <c r="C12" s="9" t="s">
        <v>12</v>
      </c>
      <c r="D12" s="2"/>
      <c r="E12" s="2"/>
      <c r="G12" s="1"/>
      <c r="H12" s="1"/>
      <c r="I12" s="1"/>
      <c r="J12" s="1"/>
      <c r="K12" s="1"/>
      <c r="L12" s="1"/>
      <c r="M12" s="1"/>
      <c r="N12" s="1"/>
      <c r="O12" s="1"/>
      <c r="P12" s="1"/>
      <c r="Q12" s="1"/>
      <c r="R12" s="1"/>
      <c r="S12" s="1"/>
      <c r="T12" s="1"/>
      <c r="U12" s="1"/>
      <c r="V12" s="1"/>
      <c r="W12" s="1"/>
      <c r="X12" s="1"/>
      <c r="Y12" s="1"/>
      <c r="Z12" s="1"/>
    </row>
    <row r="13" customFormat="false" ht="19.5" hidden="false" customHeight="true" outlineLevel="0" collapsed="false">
      <c r="A13" s="2"/>
      <c r="B13" s="8" t="s">
        <v>13</v>
      </c>
      <c r="C13" s="9" t="s">
        <v>14</v>
      </c>
      <c r="D13" s="2"/>
      <c r="E13" s="2"/>
      <c r="G13" s="1"/>
      <c r="H13" s="1"/>
      <c r="I13" s="1"/>
      <c r="J13" s="1"/>
      <c r="K13" s="1"/>
      <c r="L13" s="1"/>
      <c r="M13" s="1"/>
      <c r="N13" s="1"/>
      <c r="O13" s="1"/>
      <c r="P13" s="1"/>
      <c r="Q13" s="1"/>
      <c r="R13" s="1"/>
      <c r="S13" s="1"/>
      <c r="T13" s="1"/>
      <c r="U13" s="1"/>
      <c r="V13" s="1"/>
      <c r="W13" s="1"/>
      <c r="X13" s="1"/>
      <c r="Y13" s="1"/>
      <c r="Z13" s="1"/>
    </row>
    <row r="14" customFormat="false" ht="19.5" hidden="false" customHeight="true" outlineLevel="0" collapsed="false">
      <c r="A14" s="2"/>
      <c r="B14" s="8" t="s">
        <v>15</v>
      </c>
      <c r="C14" s="9" t="s">
        <v>16</v>
      </c>
      <c r="D14" s="2"/>
      <c r="E14" s="2"/>
      <c r="G14" s="1"/>
      <c r="H14" s="1"/>
      <c r="I14" s="1"/>
      <c r="J14" s="1"/>
      <c r="K14" s="1"/>
      <c r="L14" s="1"/>
      <c r="M14" s="1"/>
      <c r="N14" s="1"/>
      <c r="O14" s="1"/>
      <c r="P14" s="1"/>
      <c r="Q14" s="1"/>
      <c r="R14" s="1"/>
      <c r="S14" s="1"/>
      <c r="T14" s="1"/>
      <c r="U14" s="1"/>
      <c r="V14" s="1"/>
      <c r="W14" s="1"/>
      <c r="X14" s="1"/>
      <c r="Y14" s="1"/>
      <c r="Z14" s="1"/>
    </row>
    <row r="15" customFormat="false" ht="6" hidden="false" customHeight="true" outlineLevel="0" collapsed="false">
      <c r="A15" s="2"/>
      <c r="B15" s="8"/>
      <c r="C15" s="10"/>
      <c r="D15" s="2"/>
      <c r="E15" s="2"/>
      <c r="G15" s="1"/>
      <c r="H15" s="1"/>
      <c r="I15" s="1"/>
      <c r="J15" s="1"/>
      <c r="K15" s="1"/>
      <c r="L15" s="1"/>
      <c r="M15" s="1"/>
      <c r="N15" s="1"/>
      <c r="O15" s="1"/>
      <c r="P15" s="1"/>
      <c r="Q15" s="1"/>
      <c r="R15" s="1"/>
      <c r="S15" s="1"/>
      <c r="T15" s="1"/>
      <c r="U15" s="1"/>
      <c r="V15" s="1"/>
      <c r="W15" s="1"/>
      <c r="X15" s="1"/>
      <c r="Y15" s="1"/>
      <c r="Z15" s="1"/>
    </row>
    <row r="16" customFormat="false" ht="36" hidden="false" customHeight="true" outlineLevel="0" collapsed="false">
      <c r="A16" s="2"/>
      <c r="B16" s="8" t="s">
        <v>17</v>
      </c>
      <c r="C16" s="11" t="s">
        <v>18</v>
      </c>
      <c r="D16" s="2"/>
      <c r="E16" s="2"/>
      <c r="G16" s="1"/>
      <c r="H16" s="1"/>
      <c r="I16" s="1"/>
      <c r="J16" s="1"/>
      <c r="K16" s="1"/>
      <c r="L16" s="1"/>
      <c r="M16" s="1"/>
      <c r="N16" s="1"/>
      <c r="O16" s="1"/>
      <c r="P16" s="1"/>
      <c r="Q16" s="1"/>
      <c r="R16" s="1"/>
      <c r="S16" s="1"/>
      <c r="T16" s="1"/>
      <c r="U16" s="1"/>
      <c r="V16" s="1"/>
      <c r="W16" s="1"/>
      <c r="X16" s="1"/>
      <c r="Y16" s="1"/>
      <c r="Z16" s="1"/>
    </row>
    <row r="17" customFormat="false" ht="19.5" hidden="false" customHeight="true" outlineLevel="0" collapsed="false">
      <c r="A17" s="2"/>
      <c r="B17" s="12" t="s">
        <v>19</v>
      </c>
      <c r="C17" s="13" t="s">
        <v>20</v>
      </c>
      <c r="D17" s="2"/>
      <c r="E17" s="2"/>
      <c r="G17" s="1"/>
      <c r="H17" s="1"/>
      <c r="I17" s="1"/>
      <c r="J17" s="1"/>
      <c r="K17" s="1"/>
      <c r="L17" s="1"/>
      <c r="M17" s="1"/>
      <c r="N17" s="1"/>
      <c r="O17" s="1"/>
      <c r="P17" s="1"/>
      <c r="Q17" s="1"/>
      <c r="R17" s="1"/>
      <c r="S17" s="1"/>
      <c r="T17" s="1"/>
      <c r="U17" s="1"/>
      <c r="V17" s="1"/>
      <c r="W17" s="1"/>
      <c r="X17" s="1"/>
      <c r="Y17" s="1"/>
      <c r="Z17" s="1"/>
    </row>
    <row r="18" customFormat="false" ht="7.5" hidden="false" customHeight="true" outlineLevel="0" collapsed="false">
      <c r="A18" s="2"/>
      <c r="B18" s="8"/>
      <c r="C18" s="10"/>
      <c r="D18" s="2"/>
      <c r="E18" s="2"/>
      <c r="G18" s="1"/>
      <c r="H18" s="1"/>
      <c r="I18" s="1"/>
      <c r="J18" s="1"/>
      <c r="K18" s="1"/>
      <c r="L18" s="1"/>
      <c r="M18" s="1"/>
      <c r="N18" s="1"/>
      <c r="O18" s="1"/>
      <c r="P18" s="1"/>
      <c r="Q18" s="1"/>
      <c r="R18" s="1"/>
      <c r="S18" s="1"/>
      <c r="T18" s="1"/>
      <c r="U18" s="1"/>
      <c r="V18" s="1"/>
      <c r="W18" s="1"/>
      <c r="X18" s="1"/>
      <c r="Y18" s="1"/>
      <c r="Z18" s="1"/>
    </row>
    <row r="19" customFormat="false" ht="19.5" hidden="false" customHeight="true" outlineLevel="0" collapsed="false">
      <c r="A19" s="2"/>
      <c r="B19" s="14" t="s">
        <v>21</v>
      </c>
      <c r="C19" s="14"/>
      <c r="D19" s="2"/>
      <c r="E19" s="2"/>
      <c r="G19" s="1"/>
      <c r="H19" s="1"/>
      <c r="I19" s="1"/>
      <c r="J19" s="1"/>
      <c r="K19" s="1"/>
      <c r="L19" s="1"/>
      <c r="M19" s="1"/>
      <c r="N19" s="1"/>
      <c r="O19" s="1"/>
      <c r="P19" s="1"/>
      <c r="Q19" s="1"/>
      <c r="R19" s="1"/>
      <c r="S19" s="1"/>
      <c r="T19" s="1"/>
      <c r="U19" s="1"/>
      <c r="V19" s="1"/>
      <c r="W19" s="1"/>
      <c r="X19" s="1"/>
      <c r="Y19" s="1"/>
      <c r="Z19" s="1"/>
    </row>
    <row r="20" customFormat="false" ht="18" hidden="false" customHeight="true" outlineLevel="0" collapsed="false">
      <c r="A20" s="2"/>
      <c r="B20" s="15" t="s">
        <v>22</v>
      </c>
      <c r="C20" s="15"/>
      <c r="D20" s="2"/>
      <c r="E20" s="2"/>
      <c r="G20" s="1"/>
      <c r="H20" s="1"/>
      <c r="I20" s="1"/>
      <c r="J20" s="1"/>
      <c r="K20" s="1"/>
      <c r="L20" s="1"/>
      <c r="M20" s="1"/>
      <c r="N20" s="1"/>
      <c r="O20" s="1"/>
      <c r="P20" s="1"/>
      <c r="Q20" s="1"/>
      <c r="R20" s="1"/>
      <c r="S20" s="1"/>
      <c r="T20" s="1"/>
      <c r="U20" s="1"/>
      <c r="V20" s="1"/>
      <c r="W20" s="1"/>
      <c r="X20" s="1"/>
      <c r="Y20" s="1"/>
      <c r="Z20" s="1"/>
    </row>
    <row r="21" customFormat="false" ht="18" hidden="false" customHeight="true" outlineLevel="0" collapsed="false">
      <c r="A21" s="2"/>
      <c r="B21" s="16" t="s">
        <v>23</v>
      </c>
      <c r="C21" s="16"/>
      <c r="D21" s="2"/>
      <c r="E21" s="2"/>
      <c r="G21" s="1"/>
      <c r="H21" s="1"/>
      <c r="I21" s="1"/>
      <c r="J21" s="1"/>
      <c r="K21" s="1"/>
      <c r="L21" s="1"/>
      <c r="M21" s="1"/>
      <c r="N21" s="1"/>
      <c r="O21" s="1"/>
      <c r="P21" s="1"/>
      <c r="Q21" s="1"/>
      <c r="R21" s="1"/>
      <c r="S21" s="1"/>
      <c r="T21" s="1"/>
      <c r="U21" s="1"/>
      <c r="V21" s="1"/>
      <c r="W21" s="1"/>
      <c r="X21" s="1"/>
      <c r="Y21" s="1"/>
      <c r="Z21" s="1"/>
    </row>
    <row r="22" customFormat="false" ht="18" hidden="false" customHeight="true" outlineLevel="0" collapsed="false">
      <c r="A22" s="2"/>
      <c r="B22" s="17" t="s">
        <v>24</v>
      </c>
      <c r="C22" s="17"/>
      <c r="D22" s="2"/>
      <c r="E22" s="2"/>
      <c r="G22" s="1"/>
      <c r="H22" s="1"/>
      <c r="I22" s="1"/>
      <c r="J22" s="1"/>
      <c r="K22" s="1"/>
      <c r="L22" s="1"/>
      <c r="M22" s="1"/>
      <c r="N22" s="1"/>
      <c r="O22" s="1"/>
      <c r="P22" s="1"/>
      <c r="Q22" s="1"/>
      <c r="R22" s="1"/>
      <c r="S22" s="1"/>
      <c r="T22" s="1"/>
      <c r="U22" s="1"/>
      <c r="V22" s="1"/>
      <c r="W22" s="1"/>
      <c r="X22" s="1"/>
      <c r="Y22" s="1"/>
      <c r="Z22" s="1"/>
    </row>
    <row r="23" customFormat="false" ht="18" hidden="false" customHeight="true" outlineLevel="0" collapsed="false">
      <c r="A23" s="2"/>
      <c r="B23" s="16" t="s">
        <v>25</v>
      </c>
      <c r="C23" s="16"/>
      <c r="D23" s="2"/>
      <c r="E23" s="2"/>
      <c r="G23" s="1"/>
      <c r="H23" s="1"/>
      <c r="I23" s="1"/>
      <c r="J23" s="1"/>
      <c r="K23" s="1"/>
      <c r="L23" s="1"/>
      <c r="M23" s="1"/>
      <c r="N23" s="1"/>
      <c r="O23" s="1"/>
      <c r="P23" s="1"/>
      <c r="Q23" s="1"/>
      <c r="R23" s="1"/>
      <c r="S23" s="1"/>
      <c r="T23" s="1"/>
      <c r="U23" s="1"/>
      <c r="V23" s="1"/>
      <c r="W23" s="1"/>
      <c r="X23" s="1"/>
      <c r="Y23" s="1"/>
      <c r="Z23" s="1"/>
    </row>
    <row r="24" customFormat="false" ht="18" hidden="false" customHeight="true" outlineLevel="0" collapsed="false">
      <c r="A24" s="2"/>
      <c r="B24" s="17" t="s">
        <v>26</v>
      </c>
      <c r="C24" s="17"/>
      <c r="D24" s="2"/>
      <c r="E24" s="2"/>
      <c r="G24" s="1"/>
      <c r="H24" s="1"/>
      <c r="I24" s="1"/>
      <c r="J24" s="1"/>
      <c r="K24" s="1"/>
      <c r="L24" s="1"/>
      <c r="M24" s="1"/>
      <c r="N24" s="1"/>
      <c r="O24" s="1"/>
      <c r="P24" s="1"/>
      <c r="Q24" s="1"/>
      <c r="R24" s="1"/>
      <c r="S24" s="1"/>
      <c r="T24" s="1"/>
      <c r="U24" s="1"/>
      <c r="V24" s="1"/>
      <c r="W24" s="1"/>
      <c r="X24" s="1"/>
      <c r="Y24" s="1"/>
      <c r="Z24" s="1"/>
    </row>
    <row r="25" customFormat="false" ht="18" hidden="false" customHeight="true" outlineLevel="0" collapsed="false">
      <c r="A25" s="2"/>
      <c r="B25" s="16" t="s">
        <v>27</v>
      </c>
      <c r="C25" s="16"/>
      <c r="D25" s="2"/>
      <c r="E25" s="2"/>
      <c r="G25" s="1"/>
      <c r="H25" s="1"/>
      <c r="I25" s="1"/>
      <c r="J25" s="1"/>
      <c r="K25" s="1"/>
      <c r="L25" s="1"/>
      <c r="M25" s="1"/>
      <c r="N25" s="1"/>
      <c r="O25" s="1"/>
      <c r="P25" s="1"/>
      <c r="Q25" s="1"/>
      <c r="R25" s="1"/>
      <c r="S25" s="1"/>
      <c r="T25" s="1"/>
      <c r="U25" s="1"/>
      <c r="V25" s="1"/>
      <c r="W25" s="1"/>
      <c r="X25" s="1"/>
      <c r="Y25" s="1"/>
      <c r="Z25" s="1"/>
    </row>
    <row r="26" customFormat="false" ht="18" hidden="false" customHeight="true" outlineLevel="0" collapsed="false">
      <c r="A26" s="2"/>
      <c r="B26" s="17" t="s">
        <v>28</v>
      </c>
      <c r="C26" s="17"/>
      <c r="D26" s="2"/>
      <c r="E26" s="2"/>
      <c r="G26" s="1"/>
      <c r="H26" s="1"/>
      <c r="I26" s="1"/>
      <c r="J26" s="1"/>
      <c r="K26" s="1"/>
      <c r="L26" s="1"/>
      <c r="M26" s="1"/>
      <c r="N26" s="1"/>
      <c r="O26" s="1"/>
      <c r="P26" s="1"/>
      <c r="Q26" s="1"/>
      <c r="R26" s="1"/>
      <c r="S26" s="1"/>
      <c r="T26" s="1"/>
      <c r="U26" s="1"/>
      <c r="V26" s="1"/>
      <c r="W26" s="1"/>
      <c r="X26" s="1"/>
      <c r="Y26" s="1"/>
      <c r="Z26" s="1"/>
    </row>
    <row r="27" customFormat="false" ht="18" hidden="false" customHeight="true" outlineLevel="0" collapsed="false">
      <c r="A27" s="2"/>
      <c r="B27" s="16" t="s">
        <v>29</v>
      </c>
      <c r="C27" s="16"/>
      <c r="D27" s="2"/>
      <c r="E27" s="2"/>
      <c r="G27" s="1"/>
      <c r="H27" s="1"/>
      <c r="I27" s="1"/>
      <c r="J27" s="1"/>
      <c r="K27" s="1"/>
      <c r="L27" s="1"/>
      <c r="M27" s="1"/>
      <c r="N27" s="1"/>
      <c r="O27" s="1"/>
      <c r="P27" s="1"/>
      <c r="Q27" s="1"/>
      <c r="R27" s="1"/>
      <c r="S27" s="1"/>
      <c r="T27" s="1"/>
      <c r="U27" s="1"/>
      <c r="V27" s="1"/>
      <c r="W27" s="1"/>
      <c r="X27" s="1"/>
      <c r="Y27" s="1"/>
      <c r="Z27" s="1"/>
    </row>
    <row r="28" customFormat="false" ht="18" hidden="false" customHeight="true" outlineLevel="0" collapsed="false">
      <c r="A28" s="2"/>
      <c r="B28" s="17" t="s">
        <v>30</v>
      </c>
      <c r="C28" s="17"/>
      <c r="D28" s="2"/>
      <c r="E28" s="2"/>
      <c r="G28" s="1"/>
      <c r="H28" s="1"/>
      <c r="I28" s="1"/>
      <c r="J28" s="1"/>
      <c r="K28" s="1"/>
      <c r="L28" s="1"/>
      <c r="M28" s="1"/>
      <c r="N28" s="1"/>
      <c r="O28" s="1"/>
      <c r="P28" s="1"/>
      <c r="Q28" s="1"/>
      <c r="R28" s="1"/>
      <c r="S28" s="1"/>
      <c r="T28" s="1"/>
      <c r="U28" s="1"/>
      <c r="V28" s="1"/>
      <c r="W28" s="1"/>
      <c r="X28" s="1"/>
      <c r="Y28" s="1"/>
      <c r="Z28" s="1"/>
    </row>
    <row r="29" customFormat="false" ht="18" hidden="false" customHeight="true" outlineLevel="0" collapsed="false">
      <c r="A29" s="2"/>
      <c r="B29" s="16"/>
      <c r="C29" s="16"/>
      <c r="D29" s="2"/>
      <c r="E29" s="2"/>
      <c r="G29" s="1"/>
      <c r="H29" s="1"/>
      <c r="I29" s="1"/>
      <c r="J29" s="1"/>
      <c r="K29" s="1"/>
      <c r="L29" s="1"/>
      <c r="M29" s="1"/>
      <c r="N29" s="1"/>
      <c r="O29" s="1"/>
      <c r="P29" s="1"/>
      <c r="Q29" s="1"/>
      <c r="R29" s="1"/>
      <c r="S29" s="1"/>
      <c r="T29" s="1"/>
      <c r="U29" s="1"/>
      <c r="V29" s="1"/>
      <c r="W29" s="1"/>
      <c r="X29" s="1"/>
      <c r="Y29" s="1"/>
      <c r="Z29" s="1"/>
    </row>
    <row r="30" customFormat="false" ht="18" hidden="false" customHeight="true" outlineLevel="0" collapsed="false">
      <c r="A30" s="2"/>
      <c r="B30" s="15" t="s">
        <v>31</v>
      </c>
      <c r="C30" s="15"/>
      <c r="D30" s="2"/>
      <c r="E30" s="2"/>
      <c r="G30" s="1"/>
      <c r="H30" s="1"/>
      <c r="I30" s="1"/>
      <c r="J30" s="1"/>
      <c r="K30" s="1"/>
      <c r="L30" s="1"/>
      <c r="M30" s="1"/>
      <c r="N30" s="1"/>
      <c r="O30" s="1"/>
      <c r="P30" s="1"/>
      <c r="Q30" s="1"/>
      <c r="R30" s="1"/>
      <c r="S30" s="1"/>
      <c r="T30" s="1"/>
      <c r="U30" s="1"/>
      <c r="V30" s="1"/>
      <c r="W30" s="1"/>
      <c r="X30" s="1"/>
      <c r="Y30" s="1"/>
      <c r="Z30" s="1"/>
    </row>
    <row r="31" customFormat="false" ht="18" hidden="false" customHeight="true" outlineLevel="0" collapsed="false">
      <c r="A31" s="2"/>
      <c r="B31" s="16" t="s">
        <v>32</v>
      </c>
      <c r="C31" s="16"/>
      <c r="D31" s="2"/>
      <c r="E31" s="2"/>
      <c r="G31" s="1"/>
      <c r="H31" s="1"/>
      <c r="I31" s="1"/>
      <c r="J31" s="1"/>
      <c r="K31" s="1"/>
      <c r="L31" s="1"/>
      <c r="M31" s="1"/>
      <c r="N31" s="1"/>
      <c r="O31" s="1"/>
      <c r="P31" s="1"/>
      <c r="Q31" s="1"/>
      <c r="R31" s="1"/>
      <c r="S31" s="1"/>
      <c r="T31" s="1"/>
      <c r="U31" s="1"/>
      <c r="V31" s="1"/>
      <c r="W31" s="1"/>
      <c r="X31" s="1"/>
      <c r="Y31" s="1"/>
      <c r="Z31" s="1"/>
    </row>
    <row r="32" customFormat="false" ht="18" hidden="false" customHeight="true" outlineLevel="0" collapsed="false">
      <c r="A32" s="2"/>
      <c r="B32" s="17" t="s">
        <v>33</v>
      </c>
      <c r="C32" s="17"/>
      <c r="D32" s="2"/>
      <c r="E32" s="2"/>
      <c r="G32" s="1"/>
      <c r="H32" s="1"/>
      <c r="I32" s="1"/>
      <c r="J32" s="1"/>
      <c r="K32" s="1"/>
      <c r="L32" s="1"/>
      <c r="M32" s="1"/>
      <c r="N32" s="1"/>
      <c r="O32" s="1"/>
      <c r="P32" s="1"/>
      <c r="Q32" s="1"/>
      <c r="R32" s="1"/>
      <c r="S32" s="1"/>
      <c r="T32" s="1"/>
      <c r="U32" s="1"/>
      <c r="V32" s="1"/>
      <c r="W32" s="1"/>
      <c r="X32" s="1"/>
      <c r="Y32" s="1"/>
      <c r="Z32" s="1"/>
    </row>
    <row r="33" customFormat="false" ht="18" hidden="false" customHeight="true" outlineLevel="0" collapsed="false">
      <c r="A33" s="2"/>
      <c r="B33" s="18" t="s">
        <v>34</v>
      </c>
      <c r="D33" s="2"/>
      <c r="E33" s="2"/>
      <c r="G33" s="1"/>
      <c r="H33" s="1"/>
      <c r="I33" s="1"/>
      <c r="J33" s="1"/>
      <c r="K33" s="1"/>
      <c r="L33" s="1"/>
      <c r="M33" s="1"/>
      <c r="N33" s="1"/>
      <c r="O33" s="1"/>
      <c r="P33" s="1"/>
      <c r="Q33" s="1"/>
      <c r="R33" s="1"/>
      <c r="S33" s="1"/>
      <c r="T33" s="1"/>
      <c r="U33" s="1"/>
      <c r="V33" s="1"/>
      <c r="W33" s="1"/>
      <c r="X33" s="1"/>
      <c r="Y33" s="1"/>
      <c r="Z33" s="1"/>
    </row>
    <row r="34" customFormat="false" ht="18" hidden="false" customHeight="true" outlineLevel="0" collapsed="false">
      <c r="A34" s="2"/>
      <c r="B34" s="10" t="s">
        <v>35</v>
      </c>
      <c r="D34" s="2"/>
      <c r="E34" s="2"/>
      <c r="G34" s="1"/>
      <c r="H34" s="1"/>
      <c r="I34" s="1"/>
      <c r="J34" s="1"/>
      <c r="K34" s="1"/>
      <c r="L34" s="1"/>
      <c r="M34" s="1"/>
      <c r="N34" s="1"/>
      <c r="O34" s="1"/>
      <c r="P34" s="1"/>
      <c r="Q34" s="1"/>
      <c r="R34" s="1"/>
      <c r="S34" s="1"/>
      <c r="T34" s="1"/>
      <c r="U34" s="1"/>
      <c r="V34" s="1"/>
      <c r="W34" s="1"/>
      <c r="X34" s="1"/>
      <c r="Y34" s="1"/>
      <c r="Z34" s="1"/>
    </row>
    <row r="35" customFormat="false" ht="18" hidden="false" customHeight="true" outlineLevel="0" collapsed="false">
      <c r="A35" s="2"/>
      <c r="B35" s="18" t="s">
        <v>36</v>
      </c>
      <c r="D35" s="2"/>
      <c r="E35" s="2"/>
      <c r="G35" s="1"/>
      <c r="H35" s="1"/>
      <c r="I35" s="1"/>
      <c r="J35" s="1"/>
      <c r="K35" s="1"/>
      <c r="L35" s="1"/>
      <c r="M35" s="1"/>
      <c r="N35" s="1"/>
      <c r="O35" s="1"/>
      <c r="P35" s="1"/>
      <c r="Q35" s="1"/>
      <c r="R35" s="1"/>
      <c r="S35" s="1"/>
      <c r="T35" s="1"/>
      <c r="U35" s="1"/>
      <c r="V35" s="1"/>
      <c r="W35" s="1"/>
      <c r="X35" s="1"/>
      <c r="Y35" s="1"/>
      <c r="Z35" s="1"/>
    </row>
    <row r="36" customFormat="false" ht="18" hidden="false" customHeight="true" outlineLevel="0" collapsed="false">
      <c r="A36" s="2"/>
      <c r="B36" s="10" t="s">
        <v>37</v>
      </c>
      <c r="D36" s="2"/>
      <c r="E36" s="2"/>
      <c r="G36" s="1"/>
      <c r="H36" s="1"/>
      <c r="I36" s="1"/>
      <c r="J36" s="1"/>
      <c r="K36" s="1"/>
      <c r="L36" s="1"/>
      <c r="M36" s="1"/>
      <c r="N36" s="1"/>
      <c r="O36" s="1"/>
      <c r="P36" s="1"/>
      <c r="Q36" s="1"/>
      <c r="R36" s="1"/>
      <c r="S36" s="1"/>
      <c r="T36" s="1"/>
      <c r="U36" s="1"/>
      <c r="V36" s="1"/>
      <c r="W36" s="1"/>
      <c r="X36" s="1"/>
      <c r="Y36" s="1"/>
      <c r="Z36" s="1"/>
    </row>
    <row r="37" customFormat="false" ht="18" hidden="false" customHeight="true" outlineLevel="0" collapsed="false">
      <c r="A37" s="2"/>
      <c r="B37" s="18" t="s">
        <v>38</v>
      </c>
      <c r="D37" s="2"/>
      <c r="E37" s="2"/>
      <c r="G37" s="1"/>
      <c r="H37" s="1"/>
      <c r="I37" s="1"/>
      <c r="J37" s="1"/>
      <c r="K37" s="1"/>
      <c r="L37" s="1"/>
      <c r="M37" s="1"/>
      <c r="N37" s="1"/>
      <c r="O37" s="1"/>
      <c r="P37" s="1"/>
      <c r="Q37" s="1"/>
      <c r="R37" s="1"/>
      <c r="S37" s="1"/>
      <c r="T37" s="1"/>
      <c r="U37" s="1"/>
      <c r="V37" s="1"/>
      <c r="W37" s="1"/>
      <c r="X37" s="1"/>
      <c r="Y37" s="1"/>
      <c r="Z37" s="1"/>
    </row>
    <row r="38" customFormat="false" ht="18" hidden="false" customHeight="true" outlineLevel="0" collapsed="false">
      <c r="A38" s="2"/>
      <c r="B38" s="10" t="s">
        <v>30</v>
      </c>
      <c r="D38" s="2"/>
      <c r="E38" s="2"/>
      <c r="G38" s="1"/>
      <c r="H38" s="1"/>
      <c r="I38" s="1"/>
      <c r="J38" s="1"/>
      <c r="K38" s="1"/>
      <c r="L38" s="1"/>
      <c r="M38" s="1"/>
      <c r="N38" s="1"/>
      <c r="O38" s="1"/>
      <c r="P38" s="1"/>
      <c r="Q38" s="1"/>
      <c r="R38" s="1"/>
      <c r="S38" s="1"/>
      <c r="T38" s="1"/>
      <c r="U38" s="1"/>
      <c r="V38" s="1"/>
      <c r="W38" s="1"/>
      <c r="X38" s="1"/>
      <c r="Y38" s="1"/>
      <c r="Z38" s="1"/>
    </row>
    <row r="39" customFormat="false" ht="18" hidden="false" customHeight="true" outlineLevel="0" collapsed="false">
      <c r="A39" s="2"/>
      <c r="B39" s="18"/>
      <c r="D39" s="2"/>
      <c r="E39" s="2"/>
      <c r="G39" s="1"/>
      <c r="H39" s="1"/>
      <c r="I39" s="1"/>
      <c r="J39" s="1"/>
      <c r="K39" s="1"/>
      <c r="L39" s="1"/>
      <c r="M39" s="1"/>
      <c r="N39" s="1"/>
      <c r="O39" s="1"/>
      <c r="P39" s="1"/>
      <c r="Q39" s="1"/>
      <c r="R39" s="1"/>
      <c r="S39" s="1"/>
      <c r="T39" s="1"/>
      <c r="U39" s="1"/>
      <c r="V39" s="1"/>
      <c r="W39" s="1"/>
      <c r="X39" s="1"/>
      <c r="Y39" s="1"/>
      <c r="Z39" s="1"/>
    </row>
    <row r="40" customFormat="false" ht="18" hidden="false" customHeight="true" outlineLevel="0" collapsed="false">
      <c r="A40" s="2"/>
      <c r="B40" s="7" t="s">
        <v>39</v>
      </c>
      <c r="D40" s="2"/>
      <c r="E40" s="2"/>
      <c r="G40" s="1"/>
      <c r="H40" s="1"/>
      <c r="I40" s="1"/>
      <c r="J40" s="1"/>
      <c r="K40" s="1"/>
      <c r="L40" s="1"/>
      <c r="M40" s="1"/>
      <c r="N40" s="1"/>
      <c r="O40" s="1"/>
      <c r="P40" s="1"/>
      <c r="Q40" s="1"/>
      <c r="R40" s="1"/>
      <c r="S40" s="1"/>
      <c r="T40" s="1"/>
      <c r="U40" s="1"/>
      <c r="V40" s="1"/>
      <c r="W40" s="1"/>
      <c r="X40" s="1"/>
      <c r="Y40" s="1"/>
      <c r="Z40" s="1"/>
    </row>
    <row r="41" customFormat="false" ht="18" hidden="false" customHeight="true" outlineLevel="0" collapsed="false">
      <c r="A41" s="2"/>
      <c r="B41" s="18" t="s">
        <v>40</v>
      </c>
      <c r="D41" s="2"/>
      <c r="E41" s="2"/>
      <c r="G41" s="1"/>
      <c r="H41" s="1"/>
      <c r="I41" s="1"/>
      <c r="J41" s="1"/>
      <c r="K41" s="1"/>
      <c r="L41" s="1"/>
      <c r="M41" s="1"/>
      <c r="N41" s="1"/>
      <c r="O41" s="1"/>
      <c r="P41" s="1"/>
      <c r="Q41" s="1"/>
      <c r="R41" s="1"/>
      <c r="S41" s="1"/>
      <c r="T41" s="1"/>
      <c r="U41" s="1"/>
      <c r="V41" s="1"/>
      <c r="W41" s="1"/>
      <c r="X41" s="1"/>
      <c r="Y41" s="1"/>
      <c r="Z41" s="1"/>
    </row>
    <row r="42" customFormat="false" ht="18" hidden="false" customHeight="true" outlineLevel="0" collapsed="false">
      <c r="A42" s="2"/>
      <c r="B42" s="10" t="s">
        <v>41</v>
      </c>
      <c r="D42" s="2"/>
      <c r="E42" s="2"/>
      <c r="G42" s="1"/>
      <c r="H42" s="1"/>
      <c r="I42" s="1"/>
      <c r="J42" s="1"/>
      <c r="K42" s="1"/>
      <c r="L42" s="1"/>
      <c r="M42" s="1"/>
      <c r="N42" s="1"/>
      <c r="O42" s="1"/>
      <c r="P42" s="1"/>
      <c r="Q42" s="1"/>
      <c r="R42" s="1"/>
      <c r="S42" s="1"/>
      <c r="T42" s="1"/>
      <c r="U42" s="1"/>
      <c r="V42" s="1"/>
      <c r="W42" s="1"/>
      <c r="X42" s="1"/>
      <c r="Y42" s="1"/>
      <c r="Z42" s="1"/>
    </row>
    <row r="43" customFormat="false" ht="18" hidden="false" customHeight="true" outlineLevel="0" collapsed="false">
      <c r="A43" s="2"/>
      <c r="B43" s="18" t="s">
        <v>42</v>
      </c>
      <c r="D43" s="2"/>
      <c r="E43" s="2"/>
      <c r="G43" s="1"/>
      <c r="H43" s="1"/>
      <c r="I43" s="1"/>
      <c r="J43" s="1"/>
      <c r="K43" s="1"/>
      <c r="L43" s="1"/>
      <c r="M43" s="1"/>
      <c r="N43" s="1"/>
      <c r="O43" s="1"/>
      <c r="P43" s="1"/>
      <c r="Q43" s="1"/>
      <c r="R43" s="1"/>
      <c r="S43" s="1"/>
      <c r="T43" s="1"/>
      <c r="U43" s="1"/>
      <c r="V43" s="1"/>
      <c r="W43" s="1"/>
      <c r="X43" s="1"/>
      <c r="Y43" s="1"/>
      <c r="Z43" s="1"/>
    </row>
    <row r="44" customFormat="false" ht="18" hidden="false" customHeight="true" outlineLevel="0" collapsed="false">
      <c r="A44" s="2"/>
      <c r="B44" s="10" t="s">
        <v>43</v>
      </c>
      <c r="D44" s="2"/>
      <c r="E44" s="2"/>
      <c r="G44" s="1"/>
      <c r="H44" s="1"/>
      <c r="I44" s="1"/>
      <c r="J44" s="1"/>
      <c r="K44" s="1"/>
      <c r="L44" s="1"/>
      <c r="M44" s="1"/>
      <c r="N44" s="1"/>
      <c r="O44" s="1"/>
      <c r="P44" s="1"/>
      <c r="Q44" s="1"/>
      <c r="R44" s="1"/>
      <c r="S44" s="1"/>
      <c r="T44" s="1"/>
      <c r="U44" s="1"/>
      <c r="V44" s="1"/>
      <c r="W44" s="1"/>
      <c r="X44" s="1"/>
      <c r="Y44" s="1"/>
      <c r="Z44" s="1"/>
    </row>
    <row r="45" customFormat="false" ht="18" hidden="false" customHeight="true" outlineLevel="0" collapsed="false">
      <c r="A45" s="2"/>
      <c r="B45" s="18" t="s">
        <v>44</v>
      </c>
      <c r="D45" s="2"/>
      <c r="E45" s="2"/>
      <c r="G45" s="1"/>
      <c r="H45" s="1"/>
      <c r="I45" s="1"/>
      <c r="J45" s="1"/>
      <c r="K45" s="1"/>
      <c r="L45" s="1"/>
      <c r="M45" s="1"/>
      <c r="N45" s="1"/>
      <c r="O45" s="1"/>
      <c r="P45" s="1"/>
      <c r="Q45" s="1"/>
      <c r="R45" s="1"/>
      <c r="S45" s="1"/>
      <c r="T45" s="1"/>
      <c r="U45" s="1"/>
      <c r="V45" s="1"/>
      <c r="W45" s="1"/>
      <c r="X45" s="1"/>
      <c r="Y45" s="1"/>
      <c r="Z45" s="1"/>
    </row>
    <row r="46" customFormat="false" ht="18" hidden="false" customHeight="true" outlineLevel="0" collapsed="false">
      <c r="A46" s="2"/>
      <c r="B46" s="10" t="s">
        <v>45</v>
      </c>
      <c r="D46" s="2"/>
      <c r="E46" s="2"/>
      <c r="G46" s="1"/>
      <c r="H46" s="1"/>
      <c r="I46" s="1"/>
      <c r="J46" s="1"/>
      <c r="K46" s="1"/>
      <c r="L46" s="1"/>
      <c r="M46" s="1"/>
      <c r="N46" s="1"/>
      <c r="O46" s="1"/>
      <c r="P46" s="1"/>
      <c r="Q46" s="1"/>
      <c r="R46" s="1"/>
      <c r="S46" s="1"/>
      <c r="T46" s="1"/>
      <c r="U46" s="1"/>
      <c r="V46" s="1"/>
      <c r="W46" s="1"/>
      <c r="X46" s="1"/>
      <c r="Y46" s="1"/>
      <c r="Z46" s="1"/>
    </row>
    <row r="47" customFormat="false" ht="18" hidden="false" customHeight="true" outlineLevel="0" collapsed="false">
      <c r="A47" s="2"/>
      <c r="B47" s="18" t="s">
        <v>46</v>
      </c>
      <c r="D47" s="2"/>
      <c r="E47" s="2"/>
      <c r="G47" s="1"/>
      <c r="H47" s="1"/>
      <c r="I47" s="1"/>
      <c r="J47" s="1"/>
      <c r="K47" s="1"/>
      <c r="L47" s="1"/>
      <c r="M47" s="1"/>
      <c r="N47" s="1"/>
      <c r="O47" s="1"/>
      <c r="P47" s="1"/>
      <c r="Q47" s="1"/>
      <c r="R47" s="1"/>
      <c r="S47" s="1"/>
      <c r="T47" s="1"/>
      <c r="U47" s="1"/>
      <c r="V47" s="1"/>
      <c r="W47" s="1"/>
      <c r="X47" s="1"/>
      <c r="Y47" s="1"/>
      <c r="Z47" s="1"/>
    </row>
    <row r="48" customFormat="false" ht="18" hidden="false" customHeight="true" outlineLevel="0" collapsed="false">
      <c r="A48" s="2"/>
      <c r="B48" s="10" t="s">
        <v>47</v>
      </c>
      <c r="D48" s="2"/>
      <c r="E48" s="2"/>
      <c r="G48" s="1"/>
      <c r="H48" s="1"/>
      <c r="I48" s="1"/>
      <c r="J48" s="1"/>
      <c r="K48" s="1"/>
      <c r="L48" s="1"/>
      <c r="M48" s="1"/>
      <c r="N48" s="1"/>
      <c r="O48" s="1"/>
      <c r="P48" s="1"/>
      <c r="Q48" s="1"/>
      <c r="R48" s="1"/>
      <c r="S48" s="1"/>
      <c r="T48" s="1"/>
      <c r="U48" s="1"/>
      <c r="V48" s="1"/>
      <c r="W48" s="1"/>
      <c r="X48" s="1"/>
      <c r="Y48" s="1"/>
      <c r="Z48" s="1"/>
    </row>
    <row r="49" customFormat="false" ht="18" hidden="false" customHeight="true" outlineLevel="0" collapsed="false">
      <c r="A49" s="2"/>
      <c r="B49" s="18" t="s">
        <v>48</v>
      </c>
      <c r="D49" s="2"/>
      <c r="E49" s="2"/>
      <c r="G49" s="1"/>
      <c r="H49" s="1"/>
      <c r="I49" s="1"/>
      <c r="J49" s="1"/>
      <c r="K49" s="1"/>
      <c r="L49" s="1"/>
      <c r="M49" s="1"/>
      <c r="N49" s="1"/>
      <c r="O49" s="1"/>
      <c r="P49" s="1"/>
      <c r="Q49" s="1"/>
      <c r="R49" s="1"/>
      <c r="S49" s="1"/>
      <c r="T49" s="1"/>
      <c r="U49" s="1"/>
      <c r="V49" s="1"/>
      <c r="W49" s="1"/>
      <c r="X49" s="1"/>
      <c r="Y49" s="1"/>
      <c r="Z49" s="1"/>
    </row>
    <row r="50" customFormat="false" ht="18" hidden="false" customHeight="true" outlineLevel="0" collapsed="false">
      <c r="A50" s="2"/>
      <c r="B50" s="7" t="s">
        <v>49</v>
      </c>
      <c r="D50" s="2"/>
      <c r="E50" s="2"/>
      <c r="G50" s="1"/>
      <c r="H50" s="1"/>
      <c r="I50" s="1"/>
      <c r="J50" s="1"/>
      <c r="K50" s="1"/>
      <c r="L50" s="1"/>
      <c r="M50" s="1"/>
      <c r="N50" s="1"/>
      <c r="O50" s="1"/>
      <c r="P50" s="1"/>
      <c r="Q50" s="1"/>
      <c r="R50" s="1"/>
      <c r="S50" s="1"/>
      <c r="T50" s="1"/>
      <c r="U50" s="1"/>
      <c r="V50" s="1"/>
      <c r="W50" s="1"/>
      <c r="X50" s="1"/>
      <c r="Y50" s="1"/>
      <c r="Z50" s="1"/>
    </row>
    <row r="51" customFormat="false" ht="18" hidden="false" customHeight="true" outlineLevel="0" collapsed="false">
      <c r="A51" s="2"/>
      <c r="B51" s="18" t="s">
        <v>50</v>
      </c>
      <c r="D51" s="2"/>
      <c r="E51" s="2"/>
      <c r="G51" s="1"/>
      <c r="H51" s="1"/>
      <c r="I51" s="1"/>
      <c r="J51" s="1"/>
      <c r="K51" s="1"/>
      <c r="L51" s="1"/>
      <c r="M51" s="1"/>
      <c r="N51" s="1"/>
      <c r="O51" s="1"/>
      <c r="P51" s="1"/>
      <c r="Q51" s="1"/>
      <c r="R51" s="1"/>
      <c r="S51" s="1"/>
      <c r="T51" s="1"/>
      <c r="U51" s="1"/>
      <c r="V51" s="1"/>
      <c r="W51" s="1"/>
      <c r="X51" s="1"/>
      <c r="Y51" s="1"/>
      <c r="Z51" s="1"/>
    </row>
    <row r="52" customFormat="false" ht="18" hidden="false" customHeight="true" outlineLevel="0" collapsed="false">
      <c r="A52" s="2"/>
      <c r="B52" s="10" t="s">
        <v>51</v>
      </c>
      <c r="D52" s="2"/>
      <c r="E52" s="2"/>
      <c r="G52" s="1"/>
      <c r="H52" s="1"/>
      <c r="I52" s="1"/>
      <c r="J52" s="1"/>
      <c r="K52" s="1"/>
      <c r="L52" s="1"/>
      <c r="M52" s="1"/>
      <c r="N52" s="1"/>
      <c r="O52" s="1"/>
      <c r="P52" s="1"/>
      <c r="Q52" s="1"/>
      <c r="R52" s="1"/>
      <c r="S52" s="1"/>
      <c r="T52" s="1"/>
      <c r="U52" s="1"/>
      <c r="V52" s="1"/>
      <c r="W52" s="1"/>
      <c r="X52" s="1"/>
      <c r="Y52" s="1"/>
      <c r="Z52" s="1"/>
    </row>
    <row r="53" customFormat="false" ht="18" hidden="false" customHeight="true" outlineLevel="0" collapsed="false">
      <c r="A53" s="2"/>
      <c r="B53" s="18" t="s">
        <v>52</v>
      </c>
      <c r="D53" s="2"/>
      <c r="E53" s="2"/>
      <c r="G53" s="1"/>
      <c r="H53" s="1"/>
      <c r="I53" s="1"/>
      <c r="J53" s="1"/>
      <c r="K53" s="1"/>
      <c r="L53" s="1"/>
      <c r="M53" s="1"/>
      <c r="N53" s="1"/>
      <c r="O53" s="1"/>
      <c r="P53" s="1"/>
      <c r="Q53" s="1"/>
      <c r="R53" s="1"/>
      <c r="S53" s="1"/>
      <c r="T53" s="1"/>
      <c r="U53" s="1"/>
      <c r="V53" s="1"/>
      <c r="W53" s="1"/>
      <c r="X53" s="1"/>
      <c r="Y53" s="1"/>
      <c r="Z53" s="1"/>
    </row>
    <row r="54" customFormat="false" ht="15" hidden="false" customHeight="true" outlineLevel="0" collapsed="false">
      <c r="A54" s="2"/>
      <c r="B54" s="2"/>
      <c r="C54" s="2"/>
      <c r="D54" s="2"/>
      <c r="E54" s="2"/>
      <c r="G54" s="1"/>
      <c r="H54" s="1"/>
      <c r="I54" s="1"/>
      <c r="J54" s="1"/>
      <c r="K54" s="1"/>
      <c r="L54" s="1"/>
      <c r="M54" s="1"/>
      <c r="N54" s="1"/>
      <c r="O54" s="1"/>
      <c r="P54" s="1"/>
      <c r="Q54" s="1"/>
      <c r="R54" s="1"/>
      <c r="S54" s="1"/>
      <c r="T54" s="1"/>
      <c r="U54" s="1"/>
      <c r="V54" s="1"/>
      <c r="W54" s="1"/>
      <c r="X54" s="1"/>
      <c r="Y54" s="1"/>
      <c r="Z54" s="1"/>
    </row>
    <row r="55" customFormat="false" ht="15" hidden="false" customHeight="true" outlineLevel="0" collapsed="false">
      <c r="A55" s="2"/>
      <c r="B55" s="2"/>
      <c r="C55" s="2"/>
      <c r="D55" s="2"/>
      <c r="E55" s="2"/>
      <c r="G55" s="1"/>
      <c r="H55" s="1"/>
      <c r="I55" s="1"/>
      <c r="J55" s="1"/>
      <c r="K55" s="1"/>
      <c r="L55" s="1"/>
      <c r="M55" s="1"/>
      <c r="N55" s="1"/>
      <c r="O55" s="1"/>
      <c r="P55" s="1"/>
      <c r="Q55" s="1"/>
      <c r="R55" s="1"/>
      <c r="S55" s="1"/>
      <c r="T55" s="1"/>
      <c r="U55" s="1"/>
      <c r="V55" s="1"/>
      <c r="W55" s="1"/>
      <c r="X55" s="1"/>
      <c r="Y55" s="1"/>
      <c r="Z55" s="1"/>
    </row>
    <row r="56" customFormat="false" ht="15" hidden="false" customHeight="true" outlineLevel="0" collapsed="false">
      <c r="A56" s="2"/>
      <c r="B56" s="2"/>
      <c r="C56" s="2"/>
      <c r="D56" s="2"/>
      <c r="E56" s="2"/>
      <c r="G56" s="1"/>
      <c r="H56" s="1"/>
      <c r="I56" s="1"/>
      <c r="J56" s="1"/>
      <c r="K56" s="1"/>
      <c r="L56" s="1"/>
      <c r="M56" s="1"/>
      <c r="N56" s="1"/>
      <c r="O56" s="1"/>
      <c r="P56" s="1"/>
      <c r="Q56" s="1"/>
      <c r="R56" s="1"/>
      <c r="S56" s="1"/>
      <c r="T56" s="1"/>
      <c r="U56" s="1"/>
      <c r="V56" s="1"/>
      <c r="W56" s="1"/>
      <c r="X56" s="1"/>
      <c r="Y56" s="1"/>
      <c r="Z56" s="1"/>
    </row>
    <row r="57" customFormat="false" ht="15" hidden="false" customHeight="true" outlineLevel="0" collapsed="false">
      <c r="A57" s="2"/>
      <c r="B57" s="2"/>
      <c r="C57" s="2"/>
      <c r="D57" s="2"/>
      <c r="E57" s="2"/>
      <c r="G57" s="1"/>
      <c r="H57" s="1"/>
      <c r="I57" s="1"/>
      <c r="J57" s="1"/>
      <c r="K57" s="1"/>
      <c r="L57" s="1"/>
      <c r="M57" s="1"/>
      <c r="N57" s="1"/>
      <c r="O57" s="1"/>
      <c r="P57" s="1"/>
      <c r="Q57" s="1"/>
      <c r="R57" s="1"/>
      <c r="S57" s="1"/>
      <c r="T57" s="1"/>
      <c r="U57" s="1"/>
      <c r="V57" s="1"/>
      <c r="W57" s="1"/>
      <c r="X57" s="1"/>
      <c r="Y57" s="1"/>
      <c r="Z57" s="1"/>
    </row>
    <row r="58" customFormat="false" ht="15" hidden="false" customHeight="true" outlineLevel="0" collapsed="false">
      <c r="A58" s="2"/>
      <c r="B58" s="2"/>
      <c r="C58" s="2"/>
      <c r="D58" s="2"/>
      <c r="E58" s="2"/>
      <c r="G58" s="1"/>
      <c r="H58" s="1"/>
      <c r="I58" s="1"/>
      <c r="J58" s="1"/>
      <c r="K58" s="1"/>
      <c r="L58" s="1"/>
      <c r="M58" s="1"/>
      <c r="N58" s="1"/>
      <c r="O58" s="1"/>
      <c r="P58" s="1"/>
      <c r="Q58" s="1"/>
      <c r="R58" s="1"/>
      <c r="S58" s="1"/>
      <c r="T58" s="1"/>
      <c r="U58" s="1"/>
      <c r="V58" s="1"/>
      <c r="W58" s="1"/>
      <c r="X58" s="1"/>
      <c r="Y58" s="1"/>
      <c r="Z58" s="1"/>
    </row>
    <row r="59" customFormat="false" ht="15" hidden="false" customHeight="true" outlineLevel="0" collapsed="false">
      <c r="A59" s="2"/>
      <c r="B59" s="2"/>
      <c r="C59" s="2"/>
      <c r="D59" s="2"/>
      <c r="E59" s="2"/>
      <c r="G59" s="1"/>
      <c r="H59" s="1"/>
      <c r="I59" s="1"/>
      <c r="J59" s="1"/>
      <c r="K59" s="1"/>
      <c r="L59" s="1"/>
      <c r="M59" s="1"/>
      <c r="N59" s="1"/>
      <c r="O59" s="1"/>
      <c r="P59" s="1"/>
      <c r="Q59" s="1"/>
      <c r="R59" s="1"/>
      <c r="S59" s="1"/>
      <c r="T59" s="1"/>
      <c r="U59" s="1"/>
      <c r="V59" s="1"/>
      <c r="W59" s="1"/>
      <c r="X59" s="1"/>
      <c r="Y59" s="1"/>
      <c r="Z59" s="1"/>
    </row>
    <row r="60" customFormat="false" ht="15.75" hidden="false" customHeight="true" outlineLevel="0" collapsed="false">
      <c r="G60" s="1"/>
      <c r="H60" s="1"/>
      <c r="I60" s="1"/>
      <c r="J60" s="1"/>
      <c r="K60" s="1"/>
      <c r="L60" s="1"/>
      <c r="M60" s="1"/>
      <c r="N60" s="1"/>
      <c r="O60" s="1"/>
      <c r="P60" s="1"/>
      <c r="Q60" s="1"/>
      <c r="R60" s="1"/>
      <c r="S60" s="1"/>
      <c r="T60" s="1"/>
      <c r="U60" s="1"/>
      <c r="V60" s="1"/>
      <c r="W60" s="1"/>
      <c r="X60" s="1"/>
      <c r="Y60" s="1"/>
      <c r="Z60" s="1"/>
    </row>
    <row r="61" customFormat="false" ht="15.75" hidden="false" customHeight="true" outlineLevel="0" collapsed="false">
      <c r="G61" s="1"/>
      <c r="H61" s="1"/>
      <c r="I61" s="1"/>
      <c r="J61" s="1"/>
      <c r="K61" s="1"/>
      <c r="L61" s="1"/>
      <c r="M61" s="1"/>
      <c r="N61" s="1"/>
      <c r="O61" s="1"/>
      <c r="P61" s="1"/>
      <c r="Q61" s="1"/>
      <c r="R61" s="1"/>
      <c r="S61" s="1"/>
      <c r="T61" s="1"/>
      <c r="U61" s="1"/>
      <c r="V61" s="1"/>
      <c r="W61" s="1"/>
      <c r="X61" s="1"/>
      <c r="Y61" s="1"/>
      <c r="Z61" s="1"/>
    </row>
    <row r="62" customFormat="false" ht="15.75" hidden="false" customHeight="true" outlineLevel="0" collapsed="false">
      <c r="G62" s="1"/>
      <c r="H62" s="1"/>
      <c r="I62" s="1"/>
      <c r="J62" s="1"/>
      <c r="K62" s="1"/>
      <c r="L62" s="1"/>
      <c r="M62" s="1"/>
      <c r="N62" s="1"/>
      <c r="O62" s="1"/>
      <c r="P62" s="1"/>
      <c r="Q62" s="1"/>
      <c r="R62" s="1"/>
      <c r="S62" s="1"/>
      <c r="T62" s="1"/>
      <c r="U62" s="1"/>
      <c r="V62" s="1"/>
      <c r="W62" s="1"/>
      <c r="X62" s="1"/>
      <c r="Y62" s="1"/>
      <c r="Z62" s="1"/>
    </row>
    <row r="63" customFormat="false" ht="15.75" hidden="false" customHeight="true" outlineLevel="0" collapsed="false">
      <c r="G63" s="1"/>
      <c r="H63" s="1"/>
      <c r="I63" s="1"/>
      <c r="J63" s="1"/>
      <c r="K63" s="1"/>
      <c r="L63" s="1"/>
      <c r="M63" s="1"/>
      <c r="N63" s="1"/>
      <c r="O63" s="1"/>
      <c r="P63" s="1"/>
      <c r="Q63" s="1"/>
      <c r="R63" s="1"/>
      <c r="S63" s="1"/>
      <c r="T63" s="1"/>
      <c r="U63" s="1"/>
      <c r="V63" s="1"/>
      <c r="W63" s="1"/>
      <c r="X63" s="1"/>
      <c r="Y63" s="1"/>
      <c r="Z63" s="1"/>
    </row>
    <row r="64" customFormat="false" ht="15.75" hidden="false" customHeight="true" outlineLevel="0" collapsed="false">
      <c r="G64" s="1"/>
      <c r="H64" s="1"/>
      <c r="I64" s="1"/>
      <c r="J64" s="1"/>
      <c r="K64" s="1"/>
      <c r="L64" s="1"/>
      <c r="M64" s="1"/>
      <c r="N64" s="1"/>
      <c r="O64" s="1"/>
      <c r="P64" s="1"/>
      <c r="Q64" s="1"/>
      <c r="R64" s="1"/>
      <c r="S64" s="1"/>
      <c r="T64" s="1"/>
      <c r="U64" s="1"/>
      <c r="V64" s="1"/>
      <c r="W64" s="1"/>
      <c r="X64" s="1"/>
      <c r="Y64" s="1"/>
      <c r="Z64" s="1"/>
    </row>
    <row r="65" customFormat="false" ht="15.75" hidden="false" customHeight="true" outlineLevel="0" collapsed="false">
      <c r="G65" s="1"/>
      <c r="H65" s="1"/>
      <c r="I65" s="1"/>
      <c r="J65" s="1"/>
      <c r="K65" s="1"/>
      <c r="L65" s="1"/>
      <c r="M65" s="1"/>
      <c r="N65" s="1"/>
      <c r="O65" s="1"/>
      <c r="P65" s="1"/>
      <c r="Q65" s="1"/>
      <c r="R65" s="1"/>
      <c r="S65" s="1"/>
      <c r="T65" s="1"/>
      <c r="U65" s="1"/>
      <c r="V65" s="1"/>
      <c r="W65" s="1"/>
      <c r="X65" s="1"/>
      <c r="Y65" s="1"/>
      <c r="Z65" s="1"/>
    </row>
    <row r="66" customFormat="false" ht="15.75" hidden="false" customHeight="true" outlineLevel="0" collapsed="false">
      <c r="G66" s="1"/>
      <c r="H66" s="1"/>
      <c r="I66" s="1"/>
      <c r="J66" s="1"/>
      <c r="K66" s="1"/>
      <c r="L66" s="1"/>
      <c r="M66" s="1"/>
      <c r="N66" s="1"/>
      <c r="O66" s="1"/>
      <c r="P66" s="1"/>
      <c r="Q66" s="1"/>
      <c r="R66" s="1"/>
      <c r="S66" s="1"/>
      <c r="T66" s="1"/>
      <c r="U66" s="1"/>
      <c r="V66" s="1"/>
      <c r="W66" s="1"/>
      <c r="X66" s="1"/>
      <c r="Y66" s="1"/>
      <c r="Z66" s="1"/>
    </row>
    <row r="67" customFormat="false" ht="15.75" hidden="false" customHeight="true" outlineLevel="0" collapsed="false">
      <c r="G67" s="1"/>
      <c r="H67" s="1"/>
      <c r="I67" s="1"/>
      <c r="J67" s="1"/>
      <c r="K67" s="1"/>
      <c r="L67" s="1"/>
      <c r="M67" s="1"/>
      <c r="N67" s="1"/>
      <c r="O67" s="1"/>
      <c r="P67" s="1"/>
      <c r="Q67" s="1"/>
      <c r="R67" s="1"/>
      <c r="S67" s="1"/>
      <c r="T67" s="1"/>
      <c r="U67" s="1"/>
      <c r="V67" s="1"/>
      <c r="W67" s="1"/>
      <c r="X67" s="1"/>
      <c r="Y67" s="1"/>
      <c r="Z67" s="1"/>
    </row>
    <row r="68" customFormat="false" ht="15.75" hidden="false" customHeight="true" outlineLevel="0" collapsed="false">
      <c r="G68" s="1"/>
      <c r="H68" s="1"/>
      <c r="I68" s="1"/>
      <c r="J68" s="1"/>
      <c r="K68" s="1"/>
      <c r="L68" s="1"/>
      <c r="M68" s="1"/>
      <c r="N68" s="1"/>
      <c r="O68" s="1"/>
      <c r="P68" s="1"/>
      <c r="Q68" s="1"/>
      <c r="R68" s="1"/>
      <c r="S68" s="1"/>
      <c r="T68" s="1"/>
      <c r="U68" s="1"/>
      <c r="V68" s="1"/>
      <c r="W68" s="1"/>
      <c r="X68" s="1"/>
      <c r="Y68" s="1"/>
      <c r="Z68" s="1"/>
    </row>
    <row r="69" customFormat="false" ht="15.75" hidden="false" customHeight="true" outlineLevel="0" collapsed="false">
      <c r="G69" s="1"/>
      <c r="H69" s="1"/>
      <c r="I69" s="1"/>
      <c r="J69" s="1"/>
      <c r="K69" s="1"/>
      <c r="L69" s="1"/>
      <c r="M69" s="1"/>
      <c r="N69" s="1"/>
      <c r="O69" s="1"/>
      <c r="P69" s="1"/>
      <c r="Q69" s="1"/>
      <c r="R69" s="1"/>
      <c r="S69" s="1"/>
      <c r="T69" s="1"/>
      <c r="U69" s="1"/>
      <c r="V69" s="1"/>
      <c r="W69" s="1"/>
      <c r="X69" s="1"/>
      <c r="Y69" s="1"/>
      <c r="Z69" s="1"/>
    </row>
    <row r="70" customFormat="false" ht="15.75" hidden="false" customHeight="true" outlineLevel="0" collapsed="false">
      <c r="G70" s="1"/>
      <c r="H70" s="1"/>
      <c r="I70" s="1"/>
      <c r="J70" s="1"/>
      <c r="K70" s="1"/>
      <c r="L70" s="1"/>
      <c r="M70" s="1"/>
      <c r="N70" s="1"/>
      <c r="O70" s="1"/>
      <c r="P70" s="1"/>
      <c r="Q70" s="1"/>
      <c r="R70" s="1"/>
      <c r="S70" s="1"/>
      <c r="T70" s="1"/>
      <c r="U70" s="1"/>
      <c r="V70" s="1"/>
      <c r="W70" s="1"/>
      <c r="X70" s="1"/>
      <c r="Y70" s="1"/>
      <c r="Z70" s="1"/>
    </row>
    <row r="71" customFormat="false" ht="15.75" hidden="false" customHeight="true" outlineLevel="0" collapsed="false">
      <c r="G71" s="1"/>
      <c r="H71" s="1"/>
      <c r="I71" s="1"/>
      <c r="J71" s="1"/>
      <c r="K71" s="1"/>
      <c r="L71" s="1"/>
      <c r="M71" s="1"/>
      <c r="N71" s="1"/>
      <c r="O71" s="1"/>
      <c r="P71" s="1"/>
      <c r="Q71" s="1"/>
      <c r="R71" s="1"/>
      <c r="S71" s="1"/>
      <c r="T71" s="1"/>
      <c r="U71" s="1"/>
      <c r="V71" s="1"/>
      <c r="W71" s="1"/>
      <c r="X71" s="1"/>
      <c r="Y71" s="1"/>
      <c r="Z71" s="1"/>
    </row>
    <row r="72" customFormat="false" ht="15.75" hidden="false" customHeight="true" outlineLevel="0" collapsed="false">
      <c r="G72" s="1"/>
      <c r="H72" s="1"/>
      <c r="I72" s="1"/>
      <c r="J72" s="1"/>
      <c r="K72" s="1"/>
      <c r="L72" s="1"/>
      <c r="M72" s="1"/>
      <c r="N72" s="1"/>
      <c r="O72" s="1"/>
      <c r="P72" s="1"/>
      <c r="Q72" s="1"/>
      <c r="R72" s="1"/>
      <c r="S72" s="1"/>
      <c r="T72" s="1"/>
      <c r="U72" s="1"/>
      <c r="V72" s="1"/>
      <c r="W72" s="1"/>
      <c r="X72" s="1"/>
      <c r="Y72" s="1"/>
      <c r="Z72" s="1"/>
    </row>
    <row r="73" customFormat="false" ht="15.75" hidden="false" customHeight="true" outlineLevel="0" collapsed="false">
      <c r="G73" s="1"/>
      <c r="H73" s="1"/>
      <c r="I73" s="1"/>
      <c r="J73" s="1"/>
      <c r="K73" s="1"/>
      <c r="L73" s="1"/>
      <c r="M73" s="1"/>
      <c r="N73" s="1"/>
      <c r="O73" s="1"/>
      <c r="P73" s="1"/>
      <c r="Q73" s="1"/>
      <c r="R73" s="1"/>
      <c r="S73" s="1"/>
      <c r="T73" s="1"/>
      <c r="U73" s="1"/>
      <c r="V73" s="1"/>
      <c r="W73" s="1"/>
      <c r="X73" s="1"/>
      <c r="Y73" s="1"/>
      <c r="Z73" s="1"/>
    </row>
    <row r="74" customFormat="false" ht="15.75" hidden="false" customHeight="true" outlineLevel="0" collapsed="false">
      <c r="G74" s="1"/>
      <c r="H74" s="1"/>
      <c r="I74" s="1"/>
      <c r="J74" s="1"/>
      <c r="K74" s="1"/>
      <c r="L74" s="1"/>
      <c r="M74" s="1"/>
      <c r="N74" s="1"/>
      <c r="O74" s="1"/>
      <c r="P74" s="1"/>
      <c r="Q74" s="1"/>
      <c r="R74" s="1"/>
      <c r="S74" s="1"/>
      <c r="T74" s="1"/>
      <c r="U74" s="1"/>
      <c r="V74" s="1"/>
      <c r="W74" s="1"/>
      <c r="X74" s="1"/>
      <c r="Y74" s="1"/>
      <c r="Z74" s="1"/>
    </row>
    <row r="75" customFormat="false" ht="15.75" hidden="false" customHeight="true" outlineLevel="0" collapsed="false">
      <c r="G75" s="1"/>
      <c r="H75" s="1"/>
      <c r="I75" s="1"/>
      <c r="J75" s="1"/>
      <c r="K75" s="1"/>
      <c r="L75" s="1"/>
      <c r="M75" s="1"/>
      <c r="N75" s="1"/>
      <c r="O75" s="1"/>
      <c r="P75" s="1"/>
      <c r="Q75" s="1"/>
      <c r="R75" s="1"/>
      <c r="S75" s="1"/>
      <c r="T75" s="1"/>
      <c r="U75" s="1"/>
      <c r="V75" s="1"/>
      <c r="W75" s="1"/>
      <c r="X75" s="1"/>
      <c r="Y75" s="1"/>
      <c r="Z75" s="1"/>
    </row>
    <row r="76" customFormat="false" ht="15.75" hidden="false" customHeight="true" outlineLevel="0" collapsed="false">
      <c r="G76" s="1"/>
      <c r="H76" s="1"/>
      <c r="I76" s="1"/>
      <c r="J76" s="1"/>
      <c r="K76" s="1"/>
      <c r="L76" s="1"/>
      <c r="M76" s="1"/>
      <c r="N76" s="1"/>
      <c r="O76" s="1"/>
      <c r="P76" s="1"/>
      <c r="Q76" s="1"/>
      <c r="R76" s="1"/>
      <c r="S76" s="1"/>
      <c r="T76" s="1"/>
      <c r="U76" s="1"/>
      <c r="V76" s="1"/>
      <c r="W76" s="1"/>
      <c r="X76" s="1"/>
      <c r="Y76" s="1"/>
      <c r="Z76" s="1"/>
    </row>
    <row r="77" customFormat="false" ht="15.75" hidden="false" customHeight="true" outlineLevel="0" collapsed="false">
      <c r="G77" s="1"/>
      <c r="H77" s="1"/>
      <c r="I77" s="1"/>
      <c r="J77" s="1"/>
      <c r="K77" s="1"/>
      <c r="L77" s="1"/>
      <c r="M77" s="1"/>
      <c r="N77" s="1"/>
      <c r="O77" s="1"/>
      <c r="P77" s="1"/>
      <c r="Q77" s="1"/>
      <c r="R77" s="1"/>
      <c r="S77" s="1"/>
      <c r="T77" s="1"/>
      <c r="U77" s="1"/>
      <c r="V77" s="1"/>
      <c r="W77" s="1"/>
      <c r="X77" s="1"/>
      <c r="Y77" s="1"/>
      <c r="Z77" s="1"/>
    </row>
    <row r="78" customFormat="false" ht="15.75" hidden="false" customHeight="true" outlineLevel="0" collapsed="false">
      <c r="G78" s="1"/>
      <c r="H78" s="1"/>
      <c r="I78" s="1"/>
      <c r="J78" s="1"/>
      <c r="K78" s="1"/>
      <c r="L78" s="1"/>
      <c r="M78" s="1"/>
      <c r="N78" s="1"/>
      <c r="O78" s="1"/>
      <c r="P78" s="1"/>
      <c r="Q78" s="1"/>
      <c r="R78" s="1"/>
      <c r="S78" s="1"/>
      <c r="T78" s="1"/>
      <c r="U78" s="1"/>
      <c r="V78" s="1"/>
      <c r="W78" s="1"/>
      <c r="X78" s="1"/>
      <c r="Y78" s="1"/>
      <c r="Z78" s="1"/>
    </row>
    <row r="79" customFormat="false" ht="15.75" hidden="false" customHeight="true" outlineLevel="0" collapsed="false">
      <c r="G79" s="1"/>
      <c r="H79" s="1"/>
      <c r="I79" s="1"/>
      <c r="J79" s="1"/>
      <c r="K79" s="1"/>
      <c r="L79" s="1"/>
      <c r="M79" s="1"/>
      <c r="N79" s="1"/>
      <c r="O79" s="1"/>
      <c r="P79" s="1"/>
      <c r="Q79" s="1"/>
      <c r="R79" s="1"/>
      <c r="S79" s="1"/>
      <c r="T79" s="1"/>
      <c r="U79" s="1"/>
      <c r="V79" s="1"/>
      <c r="W79" s="1"/>
      <c r="X79" s="1"/>
      <c r="Y79" s="1"/>
      <c r="Z79" s="1"/>
    </row>
    <row r="80" customFormat="false" ht="15.75" hidden="false" customHeight="true" outlineLevel="0" collapsed="false">
      <c r="G80" s="1"/>
      <c r="H80" s="1"/>
      <c r="I80" s="1"/>
      <c r="J80" s="1"/>
      <c r="K80" s="1"/>
      <c r="L80" s="1"/>
      <c r="M80" s="1"/>
      <c r="N80" s="1"/>
      <c r="O80" s="1"/>
      <c r="P80" s="1"/>
      <c r="Q80" s="1"/>
      <c r="R80" s="1"/>
      <c r="S80" s="1"/>
      <c r="T80" s="1"/>
      <c r="U80" s="1"/>
      <c r="V80" s="1"/>
      <c r="W80" s="1"/>
      <c r="X80" s="1"/>
      <c r="Y80" s="1"/>
      <c r="Z80" s="1"/>
    </row>
    <row r="81" customFormat="false" ht="15.75" hidden="false" customHeight="true" outlineLevel="0" collapsed="false">
      <c r="G81" s="1"/>
      <c r="H81" s="1"/>
      <c r="I81" s="1"/>
      <c r="J81" s="1"/>
      <c r="K81" s="1"/>
      <c r="L81" s="1"/>
      <c r="M81" s="1"/>
      <c r="N81" s="1"/>
      <c r="O81" s="1"/>
      <c r="P81" s="1"/>
      <c r="Q81" s="1"/>
      <c r="R81" s="1"/>
      <c r="S81" s="1"/>
      <c r="T81" s="1"/>
      <c r="U81" s="1"/>
      <c r="V81" s="1"/>
      <c r="W81" s="1"/>
      <c r="X81" s="1"/>
      <c r="Y81" s="1"/>
      <c r="Z81" s="1"/>
    </row>
    <row r="82" customFormat="false" ht="15.75" hidden="false" customHeight="true" outlineLevel="0" collapsed="false">
      <c r="G82" s="1"/>
      <c r="H82" s="1"/>
      <c r="I82" s="1"/>
      <c r="J82" s="1"/>
      <c r="K82" s="1"/>
      <c r="L82" s="1"/>
      <c r="M82" s="1"/>
      <c r="N82" s="1"/>
      <c r="O82" s="1"/>
      <c r="P82" s="1"/>
      <c r="Q82" s="1"/>
      <c r="R82" s="1"/>
      <c r="S82" s="1"/>
      <c r="T82" s="1"/>
      <c r="U82" s="1"/>
      <c r="V82" s="1"/>
      <c r="W82" s="1"/>
      <c r="X82" s="1"/>
      <c r="Y82" s="1"/>
      <c r="Z82" s="1"/>
    </row>
    <row r="83" customFormat="false" ht="15.75" hidden="false" customHeight="true" outlineLevel="0" collapsed="false">
      <c r="G83" s="1"/>
      <c r="H83" s="1"/>
      <c r="I83" s="1"/>
      <c r="J83" s="1"/>
      <c r="K83" s="1"/>
      <c r="L83" s="1"/>
      <c r="M83" s="1"/>
      <c r="N83" s="1"/>
      <c r="O83" s="1"/>
      <c r="P83" s="1"/>
      <c r="Q83" s="1"/>
      <c r="R83" s="1"/>
      <c r="S83" s="1"/>
      <c r="T83" s="1"/>
      <c r="U83" s="1"/>
      <c r="V83" s="1"/>
      <c r="W83" s="1"/>
      <c r="X83" s="1"/>
      <c r="Y83" s="1"/>
      <c r="Z83" s="1"/>
    </row>
    <row r="84" customFormat="false" ht="15.75" hidden="false" customHeight="true" outlineLevel="0" collapsed="false">
      <c r="G84" s="1"/>
      <c r="H84" s="1"/>
      <c r="I84" s="1"/>
      <c r="J84" s="1"/>
      <c r="K84" s="1"/>
      <c r="L84" s="1"/>
      <c r="M84" s="1"/>
      <c r="N84" s="1"/>
      <c r="O84" s="1"/>
      <c r="P84" s="1"/>
      <c r="Q84" s="1"/>
      <c r="R84" s="1"/>
      <c r="S84" s="1"/>
      <c r="T84" s="1"/>
      <c r="U84" s="1"/>
      <c r="V84" s="1"/>
      <c r="W84" s="1"/>
      <c r="X84" s="1"/>
      <c r="Y84" s="1"/>
      <c r="Z84" s="1"/>
    </row>
    <row r="85" customFormat="false" ht="15.75" hidden="false" customHeight="true" outlineLevel="0" collapsed="false">
      <c r="G85" s="1"/>
      <c r="H85" s="1"/>
      <c r="I85" s="1"/>
      <c r="J85" s="1"/>
      <c r="K85" s="1"/>
      <c r="L85" s="1"/>
      <c r="M85" s="1"/>
      <c r="N85" s="1"/>
      <c r="O85" s="1"/>
      <c r="P85" s="1"/>
      <c r="Q85" s="1"/>
      <c r="R85" s="1"/>
      <c r="S85" s="1"/>
      <c r="T85" s="1"/>
      <c r="U85" s="1"/>
      <c r="V85" s="1"/>
      <c r="W85" s="1"/>
      <c r="X85" s="1"/>
      <c r="Y85" s="1"/>
      <c r="Z85" s="1"/>
    </row>
    <row r="86" customFormat="false" ht="15.75" hidden="false" customHeight="true" outlineLevel="0" collapsed="false">
      <c r="G86" s="1"/>
      <c r="H86" s="1"/>
      <c r="I86" s="1"/>
      <c r="J86" s="1"/>
      <c r="K86" s="1"/>
      <c r="L86" s="1"/>
      <c r="M86" s="1"/>
      <c r="N86" s="1"/>
      <c r="O86" s="1"/>
      <c r="P86" s="1"/>
      <c r="Q86" s="1"/>
      <c r="R86" s="1"/>
      <c r="S86" s="1"/>
      <c r="T86" s="1"/>
      <c r="U86" s="1"/>
      <c r="V86" s="1"/>
      <c r="W86" s="1"/>
      <c r="X86" s="1"/>
      <c r="Y86" s="1"/>
      <c r="Z86" s="1"/>
    </row>
    <row r="87" customFormat="false" ht="15.75" hidden="false" customHeight="true" outlineLevel="0" collapsed="false">
      <c r="G87" s="1"/>
      <c r="H87" s="1"/>
      <c r="I87" s="1"/>
      <c r="J87" s="1"/>
      <c r="K87" s="1"/>
      <c r="L87" s="1"/>
      <c r="M87" s="1"/>
      <c r="N87" s="1"/>
      <c r="O87" s="1"/>
      <c r="P87" s="1"/>
      <c r="Q87" s="1"/>
      <c r="R87" s="1"/>
      <c r="S87" s="1"/>
      <c r="T87" s="1"/>
      <c r="U87" s="1"/>
      <c r="V87" s="1"/>
      <c r="W87" s="1"/>
      <c r="X87" s="1"/>
      <c r="Y87" s="1"/>
      <c r="Z87" s="1"/>
    </row>
    <row r="88" customFormat="false" ht="15.75" hidden="false" customHeight="true" outlineLevel="0" collapsed="false">
      <c r="G88" s="1"/>
      <c r="H88" s="1"/>
      <c r="I88" s="1"/>
      <c r="J88" s="1"/>
      <c r="K88" s="1"/>
      <c r="L88" s="1"/>
      <c r="M88" s="1"/>
      <c r="N88" s="1"/>
      <c r="O88" s="1"/>
      <c r="P88" s="1"/>
      <c r="Q88" s="1"/>
      <c r="R88" s="1"/>
      <c r="S88" s="1"/>
      <c r="T88" s="1"/>
      <c r="U88" s="1"/>
      <c r="V88" s="1"/>
      <c r="W88" s="1"/>
      <c r="X88" s="1"/>
      <c r="Y88" s="1"/>
      <c r="Z88" s="1"/>
    </row>
    <row r="89" customFormat="false" ht="15.75" hidden="false" customHeight="true" outlineLevel="0" collapsed="false">
      <c r="G89" s="1"/>
      <c r="H89" s="1"/>
      <c r="I89" s="1"/>
      <c r="J89" s="1"/>
      <c r="K89" s="1"/>
      <c r="L89" s="1"/>
      <c r="M89" s="1"/>
      <c r="N89" s="1"/>
      <c r="O89" s="1"/>
      <c r="P89" s="1"/>
      <c r="Q89" s="1"/>
      <c r="R89" s="1"/>
      <c r="S89" s="1"/>
      <c r="T89" s="1"/>
      <c r="U89" s="1"/>
      <c r="V89" s="1"/>
      <c r="W89" s="1"/>
      <c r="X89" s="1"/>
      <c r="Y89" s="1"/>
      <c r="Z89" s="1"/>
    </row>
    <row r="90" customFormat="false" ht="15.75" hidden="false" customHeight="true" outlineLevel="0" collapsed="false">
      <c r="G90" s="1"/>
      <c r="H90" s="1"/>
      <c r="I90" s="1"/>
      <c r="J90" s="1"/>
      <c r="K90" s="1"/>
      <c r="L90" s="1"/>
      <c r="M90" s="1"/>
      <c r="N90" s="1"/>
      <c r="O90" s="1"/>
      <c r="P90" s="1"/>
      <c r="Q90" s="1"/>
      <c r="R90" s="1"/>
      <c r="S90" s="1"/>
      <c r="T90" s="1"/>
      <c r="U90" s="1"/>
      <c r="V90" s="1"/>
      <c r="W90" s="1"/>
      <c r="X90" s="1"/>
      <c r="Y90" s="1"/>
      <c r="Z90" s="1"/>
    </row>
    <row r="91" customFormat="false" ht="15.75" hidden="false" customHeight="true" outlineLevel="0" collapsed="false">
      <c r="G91" s="1"/>
      <c r="H91" s="1"/>
      <c r="I91" s="1"/>
      <c r="J91" s="1"/>
      <c r="K91" s="1"/>
      <c r="L91" s="1"/>
      <c r="M91" s="1"/>
      <c r="N91" s="1"/>
      <c r="O91" s="1"/>
      <c r="P91" s="1"/>
      <c r="Q91" s="1"/>
      <c r="R91" s="1"/>
      <c r="S91" s="1"/>
      <c r="T91" s="1"/>
      <c r="U91" s="1"/>
      <c r="V91" s="1"/>
      <c r="W91" s="1"/>
      <c r="X91" s="1"/>
      <c r="Y91" s="1"/>
      <c r="Z91" s="1"/>
    </row>
    <row r="92" customFormat="false" ht="15.75" hidden="false" customHeight="true" outlineLevel="0" collapsed="false">
      <c r="G92" s="1"/>
      <c r="H92" s="1"/>
      <c r="I92" s="1"/>
      <c r="J92" s="1"/>
      <c r="K92" s="1"/>
      <c r="L92" s="1"/>
      <c r="M92" s="1"/>
      <c r="N92" s="1"/>
      <c r="O92" s="1"/>
      <c r="P92" s="1"/>
      <c r="Q92" s="1"/>
      <c r="R92" s="1"/>
      <c r="S92" s="1"/>
      <c r="T92" s="1"/>
      <c r="U92" s="1"/>
      <c r="V92" s="1"/>
      <c r="W92" s="1"/>
      <c r="X92" s="1"/>
      <c r="Y92" s="1"/>
      <c r="Z92" s="1"/>
    </row>
    <row r="93" customFormat="false" ht="15.75" hidden="false" customHeight="true" outlineLevel="0" collapsed="false">
      <c r="G93" s="1"/>
      <c r="H93" s="1"/>
      <c r="I93" s="1"/>
      <c r="J93" s="1"/>
      <c r="K93" s="1"/>
      <c r="L93" s="1"/>
      <c r="M93" s="1"/>
      <c r="N93" s="1"/>
      <c r="O93" s="1"/>
      <c r="P93" s="1"/>
      <c r="Q93" s="1"/>
      <c r="R93" s="1"/>
      <c r="S93" s="1"/>
      <c r="T93" s="1"/>
      <c r="U93" s="1"/>
      <c r="V93" s="1"/>
      <c r="W93" s="1"/>
      <c r="X93" s="1"/>
      <c r="Y93" s="1"/>
      <c r="Z93" s="1"/>
    </row>
    <row r="94" customFormat="false" ht="15.75" hidden="false" customHeight="true" outlineLevel="0" collapsed="false">
      <c r="G94" s="1"/>
      <c r="H94" s="1"/>
      <c r="I94" s="1"/>
      <c r="J94" s="1"/>
      <c r="K94" s="1"/>
      <c r="L94" s="1"/>
      <c r="M94" s="1"/>
      <c r="N94" s="1"/>
      <c r="O94" s="1"/>
      <c r="P94" s="1"/>
      <c r="Q94" s="1"/>
      <c r="R94" s="1"/>
      <c r="S94" s="1"/>
      <c r="T94" s="1"/>
      <c r="U94" s="1"/>
      <c r="V94" s="1"/>
      <c r="W94" s="1"/>
      <c r="X94" s="1"/>
      <c r="Y94" s="1"/>
      <c r="Z94" s="1"/>
    </row>
    <row r="95" customFormat="false" ht="15.75" hidden="false" customHeight="true" outlineLevel="0" collapsed="false">
      <c r="G95" s="1"/>
      <c r="H95" s="1"/>
      <c r="I95" s="1"/>
      <c r="J95" s="1"/>
      <c r="K95" s="1"/>
      <c r="L95" s="1"/>
      <c r="M95" s="1"/>
      <c r="N95" s="1"/>
      <c r="O95" s="1"/>
      <c r="P95" s="1"/>
      <c r="Q95" s="1"/>
      <c r="R95" s="1"/>
      <c r="S95" s="1"/>
      <c r="T95" s="1"/>
      <c r="U95" s="1"/>
      <c r="V95" s="1"/>
      <c r="W95" s="1"/>
      <c r="X95" s="1"/>
      <c r="Y95" s="1"/>
      <c r="Z95" s="1"/>
    </row>
    <row r="96" customFormat="false" ht="15.75" hidden="false" customHeight="true" outlineLevel="0" collapsed="false">
      <c r="G96" s="1"/>
      <c r="H96" s="1"/>
      <c r="I96" s="1"/>
      <c r="J96" s="1"/>
      <c r="K96" s="1"/>
      <c r="L96" s="1"/>
      <c r="M96" s="1"/>
      <c r="N96" s="1"/>
      <c r="O96" s="1"/>
      <c r="P96" s="1"/>
      <c r="Q96" s="1"/>
      <c r="R96" s="1"/>
      <c r="S96" s="1"/>
      <c r="T96" s="1"/>
      <c r="U96" s="1"/>
      <c r="V96" s="1"/>
      <c r="W96" s="1"/>
      <c r="X96" s="1"/>
      <c r="Y96" s="1"/>
      <c r="Z96" s="1"/>
    </row>
    <row r="97" customFormat="false" ht="15.75" hidden="false" customHeight="true" outlineLevel="0" collapsed="false">
      <c r="G97" s="1"/>
      <c r="H97" s="1"/>
      <c r="I97" s="1"/>
      <c r="J97" s="1"/>
      <c r="K97" s="1"/>
      <c r="L97" s="1"/>
      <c r="M97" s="1"/>
      <c r="N97" s="1"/>
      <c r="O97" s="1"/>
      <c r="P97" s="1"/>
      <c r="Q97" s="1"/>
      <c r="R97" s="1"/>
      <c r="S97" s="1"/>
      <c r="T97" s="1"/>
      <c r="U97" s="1"/>
      <c r="V97" s="1"/>
      <c r="W97" s="1"/>
      <c r="X97" s="1"/>
      <c r="Y97" s="1"/>
      <c r="Z97" s="1"/>
    </row>
    <row r="98" customFormat="false" ht="15.75" hidden="false" customHeight="true" outlineLevel="0" collapsed="false">
      <c r="G98" s="1"/>
      <c r="H98" s="1"/>
      <c r="I98" s="1"/>
      <c r="J98" s="1"/>
      <c r="K98" s="1"/>
      <c r="L98" s="1"/>
      <c r="M98" s="1"/>
      <c r="N98" s="1"/>
      <c r="O98" s="1"/>
      <c r="P98" s="1"/>
      <c r="Q98" s="1"/>
      <c r="R98" s="1"/>
      <c r="S98" s="1"/>
      <c r="T98" s="1"/>
      <c r="U98" s="1"/>
      <c r="V98" s="1"/>
      <c r="W98" s="1"/>
      <c r="X98" s="1"/>
      <c r="Y98" s="1"/>
      <c r="Z98" s="1"/>
    </row>
    <row r="99" customFormat="false" ht="15.75" hidden="false" customHeight="true" outlineLevel="0" collapsed="false">
      <c r="G99" s="1"/>
      <c r="H99" s="1"/>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G100" s="1"/>
      <c r="H100" s="1"/>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G101" s="1"/>
      <c r="H101" s="1"/>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G102" s="1"/>
      <c r="H102" s="1"/>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G103" s="1"/>
      <c r="H103" s="1"/>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G104" s="1"/>
      <c r="H104" s="1"/>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G105" s="1"/>
      <c r="H105" s="1"/>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G106" s="1"/>
      <c r="H106" s="1"/>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G107" s="1"/>
      <c r="H107" s="1"/>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G108" s="1"/>
      <c r="H108" s="1"/>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G109" s="1"/>
      <c r="H109" s="1"/>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G110" s="1"/>
      <c r="H110" s="1"/>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G111" s="1"/>
      <c r="H111" s="1"/>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G112" s="1"/>
      <c r="H112" s="1"/>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G113" s="1"/>
      <c r="H113" s="1"/>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G114" s="1"/>
      <c r="H114" s="1"/>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G115" s="1"/>
      <c r="H115" s="1"/>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G116" s="1"/>
      <c r="H116" s="1"/>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G117" s="1"/>
      <c r="H117" s="1"/>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G118" s="1"/>
      <c r="H118" s="1"/>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G119" s="1"/>
      <c r="H119" s="1"/>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G120" s="1"/>
      <c r="H120" s="1"/>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G121" s="1"/>
      <c r="H121" s="1"/>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G122" s="1"/>
      <c r="H122" s="1"/>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G123" s="1"/>
      <c r="H123" s="1"/>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G124" s="1"/>
      <c r="H124" s="1"/>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G125" s="1"/>
      <c r="H125" s="1"/>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G126" s="1"/>
      <c r="H126" s="1"/>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G127" s="1"/>
      <c r="H127" s="1"/>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G128" s="1"/>
      <c r="H128" s="1"/>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G129" s="1"/>
      <c r="H129" s="1"/>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G130" s="1"/>
      <c r="H130" s="1"/>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G131" s="1"/>
      <c r="H131" s="1"/>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G132" s="1"/>
      <c r="H132" s="1"/>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G133" s="1"/>
      <c r="H133" s="1"/>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G134" s="1"/>
      <c r="H134" s="1"/>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G135" s="1"/>
      <c r="H135" s="1"/>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G136" s="1"/>
      <c r="H136" s="1"/>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G137" s="1"/>
      <c r="H137" s="1"/>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G138" s="1"/>
      <c r="H138" s="1"/>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G139" s="1"/>
      <c r="H139" s="1"/>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G140" s="1"/>
      <c r="H140" s="1"/>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G141" s="1"/>
      <c r="H141" s="1"/>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G142" s="1"/>
      <c r="H142" s="1"/>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G143" s="1"/>
      <c r="H143" s="1"/>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G144" s="1"/>
      <c r="H144" s="1"/>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G145" s="1"/>
      <c r="H145" s="1"/>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G146" s="1"/>
      <c r="H146" s="1"/>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G147" s="1"/>
      <c r="H147" s="1"/>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G148" s="1"/>
      <c r="H148" s="1"/>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G149" s="1"/>
      <c r="H149" s="1"/>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G150" s="1"/>
      <c r="H150" s="1"/>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G151" s="1"/>
      <c r="H151" s="1"/>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G152" s="1"/>
      <c r="H152" s="1"/>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G153" s="1"/>
      <c r="H153" s="1"/>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G154" s="1"/>
      <c r="H154" s="1"/>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G155" s="1"/>
      <c r="H155" s="1"/>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G156" s="1"/>
      <c r="H156" s="1"/>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G157" s="1"/>
      <c r="H157" s="1"/>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G158" s="1"/>
      <c r="H158" s="1"/>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G159" s="1"/>
      <c r="H159" s="1"/>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G160" s="1"/>
      <c r="H160" s="1"/>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G161" s="1"/>
      <c r="H161" s="1"/>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G162" s="1"/>
      <c r="H162" s="1"/>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G163" s="1"/>
      <c r="H163" s="1"/>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G164" s="1"/>
      <c r="H164" s="1"/>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G165" s="1"/>
      <c r="H165" s="1"/>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G166" s="1"/>
      <c r="H166" s="1"/>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G167" s="1"/>
      <c r="H167" s="1"/>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G168" s="1"/>
      <c r="H168" s="1"/>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G169" s="1"/>
      <c r="H169" s="1"/>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G170" s="1"/>
      <c r="H170" s="1"/>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G171" s="1"/>
      <c r="H171" s="1"/>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G172" s="1"/>
      <c r="H172" s="1"/>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G173" s="1"/>
      <c r="H173" s="1"/>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G174" s="1"/>
      <c r="H174" s="1"/>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G175" s="1"/>
      <c r="H175" s="1"/>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G176" s="1"/>
      <c r="H176" s="1"/>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G177" s="1"/>
      <c r="H177" s="1"/>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G178" s="1"/>
      <c r="H178" s="1"/>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G179" s="1"/>
      <c r="H179" s="1"/>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G180" s="1"/>
      <c r="H180" s="1"/>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G181" s="1"/>
      <c r="H181" s="1"/>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G182" s="1"/>
      <c r="H182" s="1"/>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G183" s="1"/>
      <c r="H183" s="1"/>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G184" s="1"/>
      <c r="H184" s="1"/>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G185" s="1"/>
      <c r="H185" s="1"/>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G186" s="1"/>
      <c r="H186" s="1"/>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G187" s="1"/>
      <c r="H187" s="1"/>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G188" s="1"/>
      <c r="H188" s="1"/>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G189" s="1"/>
      <c r="H189" s="1"/>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G190" s="1"/>
      <c r="H190" s="1"/>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G191" s="1"/>
      <c r="H191" s="1"/>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G192" s="1"/>
      <c r="H192" s="1"/>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G193" s="1"/>
      <c r="H193" s="1"/>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G194" s="1"/>
      <c r="H194" s="1"/>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G195" s="1"/>
      <c r="H195" s="1"/>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G196" s="1"/>
      <c r="H196" s="1"/>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G197" s="1"/>
      <c r="H197" s="1"/>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G198" s="1"/>
      <c r="H198" s="1"/>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G199" s="1"/>
      <c r="H199" s="1"/>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G200" s="1"/>
      <c r="H200" s="1"/>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G201" s="1"/>
      <c r="H201" s="1"/>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G202" s="1"/>
      <c r="H202" s="1"/>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G203" s="1"/>
      <c r="H203" s="1"/>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G204" s="1"/>
      <c r="H204" s="1"/>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G205" s="1"/>
      <c r="H205" s="1"/>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G206" s="1"/>
      <c r="H206" s="1"/>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G207" s="1"/>
      <c r="H207" s="1"/>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G208" s="1"/>
      <c r="H208" s="1"/>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G209" s="1"/>
      <c r="H209" s="1"/>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G210" s="1"/>
      <c r="H210" s="1"/>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G211" s="1"/>
      <c r="H211" s="1"/>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G212" s="1"/>
      <c r="H212" s="1"/>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G213" s="1"/>
      <c r="H213" s="1"/>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G214" s="1"/>
      <c r="H214" s="1"/>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G215" s="1"/>
      <c r="H215" s="1"/>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G216" s="1"/>
      <c r="H216" s="1"/>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G217" s="1"/>
      <c r="H217" s="1"/>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G218" s="1"/>
      <c r="H218" s="1"/>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G219" s="1"/>
      <c r="H219" s="1"/>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G220" s="1"/>
      <c r="H220" s="1"/>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G221" s="1"/>
      <c r="H221" s="1"/>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G222" s="1"/>
      <c r="H222" s="1"/>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G223" s="1"/>
      <c r="H223" s="1"/>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G224" s="1"/>
      <c r="H224" s="1"/>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G225" s="1"/>
      <c r="H225" s="1"/>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G226" s="1"/>
      <c r="H226" s="1"/>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G227" s="1"/>
      <c r="H227" s="1"/>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G228" s="1"/>
      <c r="H228" s="1"/>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G229" s="1"/>
      <c r="H229" s="1"/>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G230" s="1"/>
      <c r="H230" s="1"/>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G231" s="1"/>
      <c r="H231" s="1"/>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G232" s="1"/>
      <c r="H232" s="1"/>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G233" s="1"/>
      <c r="H233" s="1"/>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G234" s="1"/>
      <c r="H234" s="1"/>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G235" s="1"/>
      <c r="H235" s="1"/>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G236" s="1"/>
      <c r="H236" s="1"/>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G237" s="1"/>
      <c r="H237" s="1"/>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G238" s="1"/>
      <c r="H238" s="1"/>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G239" s="1"/>
      <c r="H239" s="1"/>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G240" s="1"/>
      <c r="H240" s="1"/>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G241" s="1"/>
      <c r="H241" s="1"/>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G242" s="1"/>
      <c r="H242" s="1"/>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G243" s="1"/>
      <c r="H243" s="1"/>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G244" s="1"/>
      <c r="H244" s="1"/>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G245" s="1"/>
      <c r="H245" s="1"/>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G246" s="1"/>
      <c r="H246" s="1"/>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G247" s="1"/>
      <c r="H247" s="1"/>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G248" s="1"/>
      <c r="H248" s="1"/>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G249" s="1"/>
      <c r="H249" s="1"/>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G250" s="1"/>
      <c r="H250" s="1"/>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G251" s="1"/>
      <c r="H251" s="1"/>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G252" s="1"/>
      <c r="H252" s="1"/>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G253" s="1"/>
      <c r="H253" s="1"/>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G254" s="1"/>
      <c r="H254" s="1"/>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G255" s="1"/>
      <c r="H255" s="1"/>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G256" s="1"/>
      <c r="H256" s="1"/>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G257" s="1"/>
      <c r="H257" s="1"/>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G258" s="1"/>
      <c r="H258" s="1"/>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G259" s="1"/>
      <c r="H259" s="1"/>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G260" s="1"/>
      <c r="H260" s="1"/>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G261" s="1"/>
      <c r="H261" s="1"/>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G262" s="1"/>
      <c r="H262" s="1"/>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G263" s="1"/>
      <c r="H263" s="1"/>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G264" s="1"/>
      <c r="H264" s="1"/>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G265" s="1"/>
      <c r="H265" s="1"/>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G266" s="1"/>
      <c r="H266" s="1"/>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G267" s="1"/>
      <c r="H267" s="1"/>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G268" s="1"/>
      <c r="H268" s="1"/>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G269" s="1"/>
      <c r="H269" s="1"/>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G270" s="1"/>
      <c r="H270" s="1"/>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G271" s="1"/>
      <c r="H271" s="1"/>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G272" s="1"/>
      <c r="H272" s="1"/>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G273" s="1"/>
      <c r="H273" s="1"/>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G274" s="1"/>
      <c r="H274" s="1"/>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G275" s="1"/>
      <c r="H275" s="1"/>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G276" s="1"/>
      <c r="H276" s="1"/>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G277" s="1"/>
      <c r="H277" s="1"/>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G278" s="1"/>
      <c r="H278" s="1"/>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G279" s="1"/>
      <c r="H279" s="1"/>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G280" s="1"/>
      <c r="H280" s="1"/>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G281" s="1"/>
      <c r="H281" s="1"/>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G282" s="1"/>
      <c r="H282" s="1"/>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G283" s="1"/>
      <c r="H283" s="1"/>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G284" s="1"/>
      <c r="H284" s="1"/>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G285" s="1"/>
      <c r="H285" s="1"/>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G286" s="1"/>
      <c r="H286" s="1"/>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G287" s="1"/>
      <c r="H287" s="1"/>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G288" s="1"/>
      <c r="H288" s="1"/>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G289" s="1"/>
      <c r="H289" s="1"/>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G290" s="1"/>
      <c r="H290" s="1"/>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G291" s="1"/>
      <c r="H291" s="1"/>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G292" s="1"/>
      <c r="H292" s="1"/>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G293" s="1"/>
      <c r="H293" s="1"/>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G294" s="1"/>
      <c r="H294" s="1"/>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G295" s="1"/>
      <c r="H295" s="1"/>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G296" s="1"/>
      <c r="H296" s="1"/>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G297" s="1"/>
      <c r="H297" s="1"/>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G298" s="1"/>
      <c r="H298" s="1"/>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G299" s="1"/>
      <c r="H299" s="1"/>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G300" s="1"/>
      <c r="H300" s="1"/>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G301" s="1"/>
      <c r="H301" s="1"/>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G302" s="1"/>
      <c r="H302" s="1"/>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G303" s="1"/>
      <c r="H303" s="1"/>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G304" s="1"/>
      <c r="H304" s="1"/>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G305" s="1"/>
      <c r="H305" s="1"/>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G306" s="1"/>
      <c r="H306" s="1"/>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G307" s="1"/>
      <c r="H307" s="1"/>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G308" s="1"/>
      <c r="H308" s="1"/>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G309" s="1"/>
      <c r="H309" s="1"/>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G310" s="1"/>
      <c r="H310" s="1"/>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G311" s="1"/>
      <c r="H311" s="1"/>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G312" s="1"/>
      <c r="H312" s="1"/>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G313" s="1"/>
      <c r="H313" s="1"/>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G314" s="1"/>
      <c r="H314" s="1"/>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G315" s="1"/>
      <c r="H315" s="1"/>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G316" s="1"/>
      <c r="H316" s="1"/>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G317" s="1"/>
      <c r="H317" s="1"/>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G318" s="1"/>
      <c r="H318" s="1"/>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G319" s="1"/>
      <c r="H319" s="1"/>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G320" s="1"/>
      <c r="H320" s="1"/>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G321" s="1"/>
      <c r="H321" s="1"/>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G322" s="1"/>
      <c r="H322" s="1"/>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G323" s="1"/>
      <c r="H323" s="1"/>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G324" s="1"/>
      <c r="H324" s="1"/>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G325" s="1"/>
      <c r="H325" s="1"/>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G326" s="1"/>
      <c r="H326" s="1"/>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G327" s="1"/>
      <c r="H327" s="1"/>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G328" s="1"/>
      <c r="H328" s="1"/>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G329" s="1"/>
      <c r="H329" s="1"/>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G330" s="1"/>
      <c r="H330" s="1"/>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G331" s="1"/>
      <c r="H331" s="1"/>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G332" s="1"/>
      <c r="H332" s="1"/>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G333" s="1"/>
      <c r="H333" s="1"/>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G334" s="1"/>
      <c r="H334" s="1"/>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G335" s="1"/>
      <c r="H335" s="1"/>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G336" s="1"/>
      <c r="H336" s="1"/>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G337" s="1"/>
      <c r="H337" s="1"/>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G338" s="1"/>
      <c r="H338" s="1"/>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G339" s="1"/>
      <c r="H339" s="1"/>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G340" s="1"/>
      <c r="H340" s="1"/>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G341" s="1"/>
      <c r="H341" s="1"/>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G342" s="1"/>
      <c r="H342" s="1"/>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G343" s="1"/>
      <c r="H343" s="1"/>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G344" s="1"/>
      <c r="H344" s="1"/>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G345" s="1"/>
      <c r="H345" s="1"/>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G346" s="1"/>
      <c r="H346" s="1"/>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G347" s="1"/>
      <c r="H347" s="1"/>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G348" s="1"/>
      <c r="H348" s="1"/>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G349" s="1"/>
      <c r="H349" s="1"/>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G350" s="1"/>
      <c r="H350" s="1"/>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G351" s="1"/>
      <c r="H351" s="1"/>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G352" s="1"/>
      <c r="H352" s="1"/>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G353" s="1"/>
      <c r="H353" s="1"/>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G354" s="1"/>
      <c r="H354" s="1"/>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G355" s="1"/>
      <c r="H355" s="1"/>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G356" s="1"/>
      <c r="H356" s="1"/>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G357" s="1"/>
      <c r="H357" s="1"/>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G358" s="1"/>
      <c r="H358" s="1"/>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G359" s="1"/>
      <c r="H359" s="1"/>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G360" s="1"/>
      <c r="H360" s="1"/>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G361" s="1"/>
      <c r="H361" s="1"/>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G362" s="1"/>
      <c r="H362" s="1"/>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G363" s="1"/>
      <c r="H363" s="1"/>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G364" s="1"/>
      <c r="H364" s="1"/>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G365" s="1"/>
      <c r="H365" s="1"/>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G366" s="1"/>
      <c r="H366" s="1"/>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G367" s="1"/>
      <c r="H367" s="1"/>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G368" s="1"/>
      <c r="H368" s="1"/>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G369" s="1"/>
      <c r="H369" s="1"/>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G370" s="1"/>
      <c r="H370" s="1"/>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G371" s="1"/>
      <c r="H371" s="1"/>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G372" s="1"/>
      <c r="H372" s="1"/>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G373" s="1"/>
      <c r="H373" s="1"/>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G374" s="1"/>
      <c r="H374" s="1"/>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G375" s="1"/>
      <c r="H375" s="1"/>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G376" s="1"/>
      <c r="H376" s="1"/>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G377" s="1"/>
      <c r="H377" s="1"/>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G378" s="1"/>
      <c r="H378" s="1"/>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G379" s="1"/>
      <c r="H379" s="1"/>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G380" s="1"/>
      <c r="H380" s="1"/>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G381" s="1"/>
      <c r="H381" s="1"/>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G382" s="1"/>
      <c r="H382" s="1"/>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G383" s="1"/>
      <c r="H383" s="1"/>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G384" s="1"/>
      <c r="H384" s="1"/>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G385" s="1"/>
      <c r="H385" s="1"/>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G386" s="1"/>
      <c r="H386" s="1"/>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G387" s="1"/>
      <c r="H387" s="1"/>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G388" s="1"/>
      <c r="H388" s="1"/>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G389" s="1"/>
      <c r="H389" s="1"/>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G390" s="1"/>
      <c r="H390" s="1"/>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G391" s="1"/>
      <c r="H391" s="1"/>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G392" s="1"/>
      <c r="H392" s="1"/>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G393" s="1"/>
      <c r="H393" s="1"/>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G394" s="1"/>
      <c r="H394" s="1"/>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G395" s="1"/>
      <c r="H395" s="1"/>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G396" s="1"/>
      <c r="H396" s="1"/>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G397" s="1"/>
      <c r="H397" s="1"/>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G398" s="1"/>
      <c r="H398" s="1"/>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G399" s="1"/>
      <c r="H399" s="1"/>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G400" s="1"/>
      <c r="H400" s="1"/>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G401" s="1"/>
      <c r="H401" s="1"/>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G402" s="1"/>
      <c r="H402" s="1"/>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G403" s="1"/>
      <c r="H403" s="1"/>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G404" s="1"/>
      <c r="H404" s="1"/>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G405" s="1"/>
      <c r="H405" s="1"/>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G406" s="1"/>
      <c r="H406" s="1"/>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G407" s="1"/>
      <c r="H407" s="1"/>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G408" s="1"/>
      <c r="H408" s="1"/>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G409" s="1"/>
      <c r="H409" s="1"/>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G410" s="1"/>
      <c r="H410" s="1"/>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G411" s="1"/>
      <c r="H411" s="1"/>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G412" s="1"/>
      <c r="H412" s="1"/>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G413" s="1"/>
      <c r="H413" s="1"/>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G414" s="1"/>
      <c r="H414" s="1"/>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G415" s="1"/>
      <c r="H415" s="1"/>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G416" s="1"/>
      <c r="H416" s="1"/>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G417" s="1"/>
      <c r="H417" s="1"/>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G418" s="1"/>
      <c r="H418" s="1"/>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G419" s="1"/>
      <c r="H419" s="1"/>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G420" s="1"/>
      <c r="H420" s="1"/>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G421" s="1"/>
      <c r="H421" s="1"/>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G422" s="1"/>
      <c r="H422" s="1"/>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G423" s="1"/>
      <c r="H423" s="1"/>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G424" s="1"/>
      <c r="H424" s="1"/>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G425" s="1"/>
      <c r="H425" s="1"/>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G426" s="1"/>
      <c r="H426" s="1"/>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G427" s="1"/>
      <c r="H427" s="1"/>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G428" s="1"/>
      <c r="H428" s="1"/>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G429" s="1"/>
      <c r="H429" s="1"/>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G430" s="1"/>
      <c r="H430" s="1"/>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G431" s="1"/>
      <c r="H431" s="1"/>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G432" s="1"/>
      <c r="H432" s="1"/>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G433" s="1"/>
      <c r="H433" s="1"/>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G434" s="1"/>
      <c r="H434" s="1"/>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G435" s="1"/>
      <c r="H435" s="1"/>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G436" s="1"/>
      <c r="H436" s="1"/>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G437" s="1"/>
      <c r="H437" s="1"/>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G438" s="1"/>
      <c r="H438" s="1"/>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G439" s="1"/>
      <c r="H439" s="1"/>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G440" s="1"/>
      <c r="H440" s="1"/>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G441" s="1"/>
      <c r="H441" s="1"/>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G442" s="1"/>
      <c r="H442" s="1"/>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G443" s="1"/>
      <c r="H443" s="1"/>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G444" s="1"/>
      <c r="H444" s="1"/>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G445" s="1"/>
      <c r="H445" s="1"/>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G446" s="1"/>
      <c r="H446" s="1"/>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G447" s="1"/>
      <c r="H447" s="1"/>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G448" s="1"/>
      <c r="H448" s="1"/>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G449" s="1"/>
      <c r="H449" s="1"/>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G450" s="1"/>
      <c r="H450" s="1"/>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G451" s="1"/>
      <c r="H451" s="1"/>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G452" s="1"/>
      <c r="H452" s="1"/>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G453" s="1"/>
      <c r="H453" s="1"/>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G454" s="1"/>
      <c r="H454" s="1"/>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G455" s="1"/>
      <c r="H455" s="1"/>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G456" s="1"/>
      <c r="H456" s="1"/>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G457" s="1"/>
      <c r="H457" s="1"/>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G458" s="1"/>
      <c r="H458" s="1"/>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G459" s="1"/>
      <c r="H459" s="1"/>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G460" s="1"/>
      <c r="H460" s="1"/>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G461" s="1"/>
      <c r="H461" s="1"/>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G462" s="1"/>
      <c r="H462" s="1"/>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G463" s="1"/>
      <c r="H463" s="1"/>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G464" s="1"/>
      <c r="H464" s="1"/>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G465" s="1"/>
      <c r="H465" s="1"/>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G466" s="1"/>
      <c r="H466" s="1"/>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G467" s="1"/>
      <c r="H467" s="1"/>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G468" s="1"/>
      <c r="H468" s="1"/>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G469" s="1"/>
      <c r="H469" s="1"/>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G470" s="1"/>
      <c r="H470" s="1"/>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G471" s="1"/>
      <c r="H471" s="1"/>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G472" s="1"/>
      <c r="H472" s="1"/>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G473" s="1"/>
      <c r="H473" s="1"/>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G474" s="1"/>
      <c r="H474" s="1"/>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G475" s="1"/>
      <c r="H475" s="1"/>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G476" s="1"/>
      <c r="H476" s="1"/>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G477" s="1"/>
      <c r="H477" s="1"/>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G478" s="1"/>
      <c r="H478" s="1"/>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G479" s="1"/>
      <c r="H479" s="1"/>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G480" s="1"/>
      <c r="H480" s="1"/>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G481" s="1"/>
      <c r="H481" s="1"/>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G482" s="1"/>
      <c r="H482" s="1"/>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G483" s="1"/>
      <c r="H483" s="1"/>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G484" s="1"/>
      <c r="H484" s="1"/>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G485" s="1"/>
      <c r="H485" s="1"/>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G486" s="1"/>
      <c r="H486" s="1"/>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G487" s="1"/>
      <c r="H487" s="1"/>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G488" s="1"/>
      <c r="H488" s="1"/>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G489" s="1"/>
      <c r="H489" s="1"/>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G490" s="1"/>
      <c r="H490" s="1"/>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G491" s="1"/>
      <c r="H491" s="1"/>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G492" s="1"/>
      <c r="H492" s="1"/>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G493" s="1"/>
      <c r="H493" s="1"/>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G494" s="1"/>
      <c r="H494" s="1"/>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G495" s="1"/>
      <c r="H495" s="1"/>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G496" s="1"/>
      <c r="H496" s="1"/>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G497" s="1"/>
      <c r="H497" s="1"/>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G498" s="1"/>
      <c r="H498" s="1"/>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G499" s="1"/>
      <c r="H499" s="1"/>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G500" s="1"/>
      <c r="H500" s="1"/>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G501" s="1"/>
      <c r="H501" s="1"/>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G502" s="1"/>
      <c r="H502" s="1"/>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G503" s="1"/>
      <c r="H503" s="1"/>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G504" s="1"/>
      <c r="H504" s="1"/>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G505" s="1"/>
      <c r="H505" s="1"/>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G506" s="1"/>
      <c r="H506" s="1"/>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G507" s="1"/>
      <c r="H507" s="1"/>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G508" s="1"/>
      <c r="H508" s="1"/>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G509" s="1"/>
      <c r="H509" s="1"/>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G510" s="1"/>
      <c r="H510" s="1"/>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G511" s="1"/>
      <c r="H511" s="1"/>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G512" s="1"/>
      <c r="H512" s="1"/>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G513" s="1"/>
      <c r="H513" s="1"/>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G514" s="1"/>
      <c r="H514" s="1"/>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G515" s="1"/>
      <c r="H515" s="1"/>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G516" s="1"/>
      <c r="H516" s="1"/>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G517" s="1"/>
      <c r="H517" s="1"/>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G518" s="1"/>
      <c r="H518" s="1"/>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G519" s="1"/>
      <c r="H519" s="1"/>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G520" s="1"/>
      <c r="H520" s="1"/>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G521" s="1"/>
      <c r="H521" s="1"/>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G522" s="1"/>
      <c r="H522" s="1"/>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G523" s="1"/>
      <c r="H523" s="1"/>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G524" s="1"/>
      <c r="H524" s="1"/>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G525" s="1"/>
      <c r="H525" s="1"/>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G526" s="1"/>
      <c r="H526" s="1"/>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G527" s="1"/>
      <c r="H527" s="1"/>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G528" s="1"/>
      <c r="H528" s="1"/>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G529" s="1"/>
      <c r="H529" s="1"/>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G530" s="1"/>
      <c r="H530" s="1"/>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G531" s="1"/>
      <c r="H531" s="1"/>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G532" s="1"/>
      <c r="H532" s="1"/>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G533" s="1"/>
      <c r="H533" s="1"/>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G534" s="1"/>
      <c r="H534" s="1"/>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G535" s="1"/>
      <c r="H535" s="1"/>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G536" s="1"/>
      <c r="H536" s="1"/>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G537" s="1"/>
      <c r="H537" s="1"/>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G538" s="1"/>
      <c r="H538" s="1"/>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G539" s="1"/>
      <c r="H539" s="1"/>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G540" s="1"/>
      <c r="H540" s="1"/>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G541" s="1"/>
      <c r="H541" s="1"/>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G542" s="1"/>
      <c r="H542" s="1"/>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G543" s="1"/>
      <c r="H543" s="1"/>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G544" s="1"/>
      <c r="H544" s="1"/>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G545" s="1"/>
      <c r="H545" s="1"/>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G546" s="1"/>
      <c r="H546" s="1"/>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G547" s="1"/>
      <c r="H547" s="1"/>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G548" s="1"/>
      <c r="H548" s="1"/>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G549" s="1"/>
      <c r="H549" s="1"/>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G550" s="1"/>
      <c r="H550" s="1"/>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G551" s="1"/>
      <c r="H551" s="1"/>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G552" s="1"/>
      <c r="H552" s="1"/>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G553" s="1"/>
      <c r="H553" s="1"/>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G554" s="1"/>
      <c r="H554" s="1"/>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G555" s="1"/>
      <c r="H555" s="1"/>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G556" s="1"/>
      <c r="H556" s="1"/>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G557" s="1"/>
      <c r="H557" s="1"/>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G558" s="1"/>
      <c r="H558" s="1"/>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G559" s="1"/>
      <c r="H559" s="1"/>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G560" s="1"/>
      <c r="H560" s="1"/>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G561" s="1"/>
      <c r="H561" s="1"/>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G562" s="1"/>
      <c r="H562" s="1"/>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G563" s="1"/>
      <c r="H563" s="1"/>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G564" s="1"/>
      <c r="H564" s="1"/>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G565" s="1"/>
      <c r="H565" s="1"/>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G566" s="1"/>
      <c r="H566" s="1"/>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G567" s="1"/>
      <c r="H567" s="1"/>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G568" s="1"/>
      <c r="H568" s="1"/>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G569" s="1"/>
      <c r="H569" s="1"/>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G570" s="1"/>
      <c r="H570" s="1"/>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G571" s="1"/>
      <c r="H571" s="1"/>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G572" s="1"/>
      <c r="H572" s="1"/>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G573" s="1"/>
      <c r="H573" s="1"/>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G574" s="1"/>
      <c r="H574" s="1"/>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G575" s="1"/>
      <c r="H575" s="1"/>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G576" s="1"/>
      <c r="H576" s="1"/>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G577" s="1"/>
      <c r="H577" s="1"/>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G578" s="1"/>
      <c r="H578" s="1"/>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G579" s="1"/>
      <c r="H579" s="1"/>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G580" s="1"/>
      <c r="H580" s="1"/>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G581" s="1"/>
      <c r="H581" s="1"/>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G582" s="1"/>
      <c r="H582" s="1"/>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G583" s="1"/>
      <c r="H583" s="1"/>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G584" s="1"/>
      <c r="H584" s="1"/>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G585" s="1"/>
      <c r="H585" s="1"/>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G586" s="1"/>
      <c r="H586" s="1"/>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G587" s="1"/>
      <c r="H587" s="1"/>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G588" s="1"/>
      <c r="H588" s="1"/>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G589" s="1"/>
      <c r="H589" s="1"/>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G590" s="1"/>
      <c r="H590" s="1"/>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G591" s="1"/>
      <c r="H591" s="1"/>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G592" s="1"/>
      <c r="H592" s="1"/>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G593" s="1"/>
      <c r="H593" s="1"/>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G594" s="1"/>
      <c r="H594" s="1"/>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G595" s="1"/>
      <c r="H595" s="1"/>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G596" s="1"/>
      <c r="H596" s="1"/>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G597" s="1"/>
      <c r="H597" s="1"/>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G598" s="1"/>
      <c r="H598" s="1"/>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G599" s="1"/>
      <c r="H599" s="1"/>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G600" s="1"/>
      <c r="H600" s="1"/>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G601" s="1"/>
      <c r="H601" s="1"/>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G602" s="1"/>
      <c r="H602" s="1"/>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G603" s="1"/>
      <c r="H603" s="1"/>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G604" s="1"/>
      <c r="H604" s="1"/>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G605" s="1"/>
      <c r="H605" s="1"/>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G606" s="1"/>
      <c r="H606" s="1"/>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G607" s="1"/>
      <c r="H607" s="1"/>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G608" s="1"/>
      <c r="H608" s="1"/>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G609" s="1"/>
      <c r="H609" s="1"/>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G610" s="1"/>
      <c r="H610" s="1"/>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G611" s="1"/>
      <c r="H611" s="1"/>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G612" s="1"/>
      <c r="H612" s="1"/>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G613" s="1"/>
      <c r="H613" s="1"/>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G614" s="1"/>
      <c r="H614" s="1"/>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G615" s="1"/>
      <c r="H615" s="1"/>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G616" s="1"/>
      <c r="H616" s="1"/>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G617" s="1"/>
      <c r="H617" s="1"/>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G618" s="1"/>
      <c r="H618" s="1"/>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G619" s="1"/>
      <c r="H619" s="1"/>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G620" s="1"/>
      <c r="H620" s="1"/>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G621" s="1"/>
      <c r="H621" s="1"/>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G622" s="1"/>
      <c r="H622" s="1"/>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G623" s="1"/>
      <c r="H623" s="1"/>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G624" s="1"/>
      <c r="H624" s="1"/>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G625" s="1"/>
      <c r="H625" s="1"/>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G626" s="1"/>
      <c r="H626" s="1"/>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G627" s="1"/>
      <c r="H627" s="1"/>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G628" s="1"/>
      <c r="H628" s="1"/>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G629" s="1"/>
      <c r="H629" s="1"/>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G630" s="1"/>
      <c r="H630" s="1"/>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G631" s="1"/>
      <c r="H631" s="1"/>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G632" s="1"/>
      <c r="H632" s="1"/>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G633" s="1"/>
      <c r="H633" s="1"/>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G634" s="1"/>
      <c r="H634" s="1"/>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G635" s="1"/>
      <c r="H635" s="1"/>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G636" s="1"/>
      <c r="H636" s="1"/>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G637" s="1"/>
      <c r="H637" s="1"/>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G638" s="1"/>
      <c r="H638" s="1"/>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G639" s="1"/>
      <c r="H639" s="1"/>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G640" s="1"/>
      <c r="H640" s="1"/>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G641" s="1"/>
      <c r="H641" s="1"/>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G642" s="1"/>
      <c r="H642" s="1"/>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G643" s="1"/>
      <c r="H643" s="1"/>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G644" s="1"/>
      <c r="H644" s="1"/>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G645" s="1"/>
      <c r="H645" s="1"/>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G646" s="1"/>
      <c r="H646" s="1"/>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G647" s="1"/>
      <c r="H647" s="1"/>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G648" s="1"/>
      <c r="H648" s="1"/>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G649" s="1"/>
      <c r="H649" s="1"/>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G650" s="1"/>
      <c r="H650" s="1"/>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G651" s="1"/>
      <c r="H651" s="1"/>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G652" s="1"/>
      <c r="H652" s="1"/>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G653" s="1"/>
      <c r="H653" s="1"/>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G654" s="1"/>
      <c r="H654" s="1"/>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G655" s="1"/>
      <c r="H655" s="1"/>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G656" s="1"/>
      <c r="H656" s="1"/>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G657" s="1"/>
      <c r="H657" s="1"/>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G658" s="1"/>
      <c r="H658" s="1"/>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G659" s="1"/>
      <c r="H659" s="1"/>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G660" s="1"/>
      <c r="H660" s="1"/>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G661" s="1"/>
      <c r="H661" s="1"/>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G662" s="1"/>
      <c r="H662" s="1"/>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G663" s="1"/>
      <c r="H663" s="1"/>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G664" s="1"/>
      <c r="H664" s="1"/>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G665" s="1"/>
      <c r="H665" s="1"/>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G666" s="1"/>
      <c r="H666" s="1"/>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G667" s="1"/>
      <c r="H667" s="1"/>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G668" s="1"/>
      <c r="H668" s="1"/>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G669" s="1"/>
      <c r="H669" s="1"/>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G670" s="1"/>
      <c r="H670" s="1"/>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G671" s="1"/>
      <c r="H671" s="1"/>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G672" s="1"/>
      <c r="H672" s="1"/>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G673" s="1"/>
      <c r="H673" s="1"/>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G674" s="1"/>
      <c r="H674" s="1"/>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G675" s="1"/>
      <c r="H675" s="1"/>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G676" s="1"/>
      <c r="H676" s="1"/>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G677" s="1"/>
      <c r="H677" s="1"/>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G678" s="1"/>
      <c r="H678" s="1"/>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G679" s="1"/>
      <c r="H679" s="1"/>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G680" s="1"/>
      <c r="H680" s="1"/>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G681" s="1"/>
      <c r="H681" s="1"/>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G682" s="1"/>
      <c r="H682" s="1"/>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G683" s="1"/>
      <c r="H683" s="1"/>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G684" s="1"/>
      <c r="H684" s="1"/>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G685" s="1"/>
      <c r="H685" s="1"/>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G686" s="1"/>
      <c r="H686" s="1"/>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G687" s="1"/>
      <c r="H687" s="1"/>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G688" s="1"/>
      <c r="H688" s="1"/>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G689" s="1"/>
      <c r="H689" s="1"/>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G690" s="1"/>
      <c r="H690" s="1"/>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G691" s="1"/>
      <c r="H691" s="1"/>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G692" s="1"/>
      <c r="H692" s="1"/>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G693" s="1"/>
      <c r="H693" s="1"/>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G694" s="1"/>
      <c r="H694" s="1"/>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G695" s="1"/>
      <c r="H695" s="1"/>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G696" s="1"/>
      <c r="H696" s="1"/>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G697" s="1"/>
      <c r="H697" s="1"/>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G698" s="1"/>
      <c r="H698" s="1"/>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G699" s="1"/>
      <c r="H699" s="1"/>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G700" s="1"/>
      <c r="H700" s="1"/>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G701" s="1"/>
      <c r="H701" s="1"/>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G702" s="1"/>
      <c r="H702" s="1"/>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G703" s="1"/>
      <c r="H703" s="1"/>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G704" s="1"/>
      <c r="H704" s="1"/>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G705" s="1"/>
      <c r="H705" s="1"/>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G706" s="1"/>
      <c r="H706" s="1"/>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G707" s="1"/>
      <c r="H707" s="1"/>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G708" s="1"/>
      <c r="H708" s="1"/>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G709" s="1"/>
      <c r="H709" s="1"/>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G710" s="1"/>
      <c r="H710" s="1"/>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G711" s="1"/>
      <c r="H711" s="1"/>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G712" s="1"/>
      <c r="H712" s="1"/>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G713" s="1"/>
      <c r="H713" s="1"/>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G714" s="1"/>
      <c r="H714" s="1"/>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G715" s="1"/>
      <c r="H715" s="1"/>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G716" s="1"/>
      <c r="H716" s="1"/>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G717" s="1"/>
      <c r="H717" s="1"/>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G718" s="1"/>
      <c r="H718" s="1"/>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G719" s="1"/>
      <c r="H719" s="1"/>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G720" s="1"/>
      <c r="H720" s="1"/>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G721" s="1"/>
      <c r="H721" s="1"/>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G722" s="1"/>
      <c r="H722" s="1"/>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G723" s="1"/>
      <c r="H723" s="1"/>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G724" s="1"/>
      <c r="H724" s="1"/>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G725" s="1"/>
      <c r="H725" s="1"/>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G726" s="1"/>
      <c r="H726" s="1"/>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G727" s="1"/>
      <c r="H727" s="1"/>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G728" s="1"/>
      <c r="H728" s="1"/>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G729" s="1"/>
      <c r="H729" s="1"/>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G730" s="1"/>
      <c r="H730" s="1"/>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G731" s="1"/>
      <c r="H731" s="1"/>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G732" s="1"/>
      <c r="H732" s="1"/>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G733" s="1"/>
      <c r="H733" s="1"/>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G734" s="1"/>
      <c r="H734" s="1"/>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G735" s="1"/>
      <c r="H735" s="1"/>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G736" s="1"/>
      <c r="H736" s="1"/>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G737" s="1"/>
      <c r="H737" s="1"/>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G738" s="1"/>
      <c r="H738" s="1"/>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G739" s="1"/>
      <c r="H739" s="1"/>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G740" s="1"/>
      <c r="H740" s="1"/>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G741" s="1"/>
      <c r="H741" s="1"/>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G742" s="1"/>
      <c r="H742" s="1"/>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G743" s="1"/>
      <c r="H743" s="1"/>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G744" s="1"/>
      <c r="H744" s="1"/>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G745" s="1"/>
      <c r="H745" s="1"/>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G746" s="1"/>
      <c r="H746" s="1"/>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G747" s="1"/>
      <c r="H747" s="1"/>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G748" s="1"/>
      <c r="H748" s="1"/>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G749" s="1"/>
      <c r="H749" s="1"/>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G750" s="1"/>
      <c r="H750" s="1"/>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G751" s="1"/>
      <c r="H751" s="1"/>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G752" s="1"/>
      <c r="H752" s="1"/>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G753" s="1"/>
      <c r="H753" s="1"/>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G754" s="1"/>
      <c r="H754" s="1"/>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G755" s="1"/>
      <c r="H755" s="1"/>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G756" s="1"/>
      <c r="H756" s="1"/>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G757" s="1"/>
      <c r="H757" s="1"/>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G758" s="1"/>
      <c r="H758" s="1"/>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G759" s="1"/>
      <c r="H759" s="1"/>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G760" s="1"/>
      <c r="H760" s="1"/>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G761" s="1"/>
      <c r="H761" s="1"/>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G762" s="1"/>
      <c r="H762" s="1"/>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G763" s="1"/>
      <c r="H763" s="1"/>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G764" s="1"/>
      <c r="H764" s="1"/>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G765" s="1"/>
      <c r="H765" s="1"/>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G766" s="1"/>
      <c r="H766" s="1"/>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G767" s="1"/>
      <c r="H767" s="1"/>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G768" s="1"/>
      <c r="H768" s="1"/>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G769" s="1"/>
      <c r="H769" s="1"/>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G770" s="1"/>
      <c r="H770" s="1"/>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G771" s="1"/>
      <c r="H771" s="1"/>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G772" s="1"/>
      <c r="H772" s="1"/>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G773" s="1"/>
      <c r="H773" s="1"/>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G774" s="1"/>
      <c r="H774" s="1"/>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G775" s="1"/>
      <c r="H775" s="1"/>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G776" s="1"/>
      <c r="H776" s="1"/>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G777" s="1"/>
      <c r="H777" s="1"/>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G778" s="1"/>
      <c r="H778" s="1"/>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G779" s="1"/>
      <c r="H779" s="1"/>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G780" s="1"/>
      <c r="H780" s="1"/>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G781" s="1"/>
      <c r="H781" s="1"/>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G782" s="1"/>
      <c r="H782" s="1"/>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G783" s="1"/>
      <c r="H783" s="1"/>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G784" s="1"/>
      <c r="H784" s="1"/>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G785" s="1"/>
      <c r="H785" s="1"/>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G786" s="1"/>
      <c r="H786" s="1"/>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G787" s="1"/>
      <c r="H787" s="1"/>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G788" s="1"/>
      <c r="H788" s="1"/>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G789" s="1"/>
      <c r="H789" s="1"/>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G790" s="1"/>
      <c r="H790" s="1"/>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G791" s="1"/>
      <c r="H791" s="1"/>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G792" s="1"/>
      <c r="H792" s="1"/>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G793" s="1"/>
      <c r="H793" s="1"/>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G794" s="1"/>
      <c r="H794" s="1"/>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G795" s="1"/>
      <c r="H795" s="1"/>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G796" s="1"/>
      <c r="H796" s="1"/>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G797" s="1"/>
      <c r="H797" s="1"/>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G798" s="1"/>
      <c r="H798" s="1"/>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G799" s="1"/>
      <c r="H799" s="1"/>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G800" s="1"/>
      <c r="H800" s="1"/>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G801" s="1"/>
      <c r="H801" s="1"/>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G802" s="1"/>
      <c r="H802" s="1"/>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G803" s="1"/>
      <c r="H803" s="1"/>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G804" s="1"/>
      <c r="H804" s="1"/>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G805" s="1"/>
      <c r="H805" s="1"/>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G806" s="1"/>
      <c r="H806" s="1"/>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G807" s="1"/>
      <c r="H807" s="1"/>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G808" s="1"/>
      <c r="H808" s="1"/>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G809" s="1"/>
      <c r="H809" s="1"/>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G810" s="1"/>
      <c r="H810" s="1"/>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G811" s="1"/>
      <c r="H811" s="1"/>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G812" s="1"/>
      <c r="H812" s="1"/>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G813" s="1"/>
      <c r="H813" s="1"/>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G814" s="1"/>
      <c r="H814" s="1"/>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G815" s="1"/>
      <c r="H815" s="1"/>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G816" s="1"/>
      <c r="H816" s="1"/>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G817" s="1"/>
      <c r="H817" s="1"/>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G818" s="1"/>
      <c r="H818" s="1"/>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G819" s="1"/>
      <c r="H819" s="1"/>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G820" s="1"/>
      <c r="H820" s="1"/>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G821" s="1"/>
      <c r="H821" s="1"/>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G822" s="1"/>
      <c r="H822" s="1"/>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G823" s="1"/>
      <c r="H823" s="1"/>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G824" s="1"/>
      <c r="H824" s="1"/>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G825" s="1"/>
      <c r="H825" s="1"/>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G826" s="1"/>
      <c r="H826" s="1"/>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G827" s="1"/>
      <c r="H827" s="1"/>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G828" s="1"/>
      <c r="H828" s="1"/>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G829" s="1"/>
      <c r="H829" s="1"/>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G830" s="1"/>
      <c r="H830" s="1"/>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G831" s="1"/>
      <c r="H831" s="1"/>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G832" s="1"/>
      <c r="H832" s="1"/>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G833" s="1"/>
      <c r="H833" s="1"/>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G834" s="1"/>
      <c r="H834" s="1"/>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G835" s="1"/>
      <c r="H835" s="1"/>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G836" s="1"/>
      <c r="H836" s="1"/>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G837" s="1"/>
      <c r="H837" s="1"/>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G838" s="1"/>
      <c r="H838" s="1"/>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G839" s="1"/>
      <c r="H839" s="1"/>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G840" s="1"/>
      <c r="H840" s="1"/>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G841" s="1"/>
      <c r="H841" s="1"/>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G842" s="1"/>
      <c r="H842" s="1"/>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G843" s="1"/>
      <c r="H843" s="1"/>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G844" s="1"/>
      <c r="H844" s="1"/>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G845" s="1"/>
      <c r="H845" s="1"/>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G846" s="1"/>
      <c r="H846" s="1"/>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G847" s="1"/>
      <c r="H847" s="1"/>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G848" s="1"/>
      <c r="H848" s="1"/>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G849" s="1"/>
      <c r="H849" s="1"/>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G850" s="1"/>
      <c r="H850" s="1"/>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G851" s="1"/>
      <c r="H851" s="1"/>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G852" s="1"/>
      <c r="H852" s="1"/>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G853" s="1"/>
      <c r="H853" s="1"/>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G854" s="1"/>
      <c r="H854" s="1"/>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G855" s="1"/>
      <c r="H855" s="1"/>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G856" s="1"/>
      <c r="H856" s="1"/>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G857" s="1"/>
      <c r="H857" s="1"/>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G858" s="1"/>
      <c r="H858" s="1"/>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G859" s="1"/>
      <c r="H859" s="1"/>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G860" s="1"/>
      <c r="H860" s="1"/>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G861" s="1"/>
      <c r="H861" s="1"/>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G862" s="1"/>
      <c r="H862" s="1"/>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G863" s="1"/>
      <c r="H863" s="1"/>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G864" s="1"/>
      <c r="H864" s="1"/>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G865" s="1"/>
      <c r="H865" s="1"/>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G866" s="1"/>
      <c r="H866" s="1"/>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G867" s="1"/>
      <c r="H867" s="1"/>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G868" s="1"/>
      <c r="H868" s="1"/>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G869" s="1"/>
      <c r="H869" s="1"/>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G870" s="1"/>
      <c r="H870" s="1"/>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G871" s="1"/>
      <c r="H871" s="1"/>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G872" s="1"/>
      <c r="H872" s="1"/>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G873" s="1"/>
      <c r="H873" s="1"/>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G874" s="1"/>
      <c r="H874" s="1"/>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G875" s="1"/>
      <c r="H875" s="1"/>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G876" s="1"/>
      <c r="H876" s="1"/>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G877" s="1"/>
      <c r="H877" s="1"/>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G878" s="1"/>
      <c r="H878" s="1"/>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G879" s="1"/>
      <c r="H879" s="1"/>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G880" s="1"/>
      <c r="H880" s="1"/>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G881" s="1"/>
      <c r="H881" s="1"/>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G882" s="1"/>
      <c r="H882" s="1"/>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G883" s="1"/>
      <c r="H883" s="1"/>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G884" s="1"/>
      <c r="H884" s="1"/>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G885" s="1"/>
      <c r="H885" s="1"/>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G886" s="1"/>
      <c r="H886" s="1"/>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G887" s="1"/>
      <c r="H887" s="1"/>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G888" s="1"/>
      <c r="H888" s="1"/>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G889" s="1"/>
      <c r="H889" s="1"/>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G890" s="1"/>
      <c r="H890" s="1"/>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G891" s="1"/>
      <c r="H891" s="1"/>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G892" s="1"/>
      <c r="H892" s="1"/>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G893" s="1"/>
      <c r="H893" s="1"/>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G894" s="1"/>
      <c r="H894" s="1"/>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G895" s="1"/>
      <c r="H895" s="1"/>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G896" s="1"/>
      <c r="H896" s="1"/>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G897" s="1"/>
      <c r="H897" s="1"/>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G898" s="1"/>
      <c r="H898" s="1"/>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G899" s="1"/>
      <c r="H899" s="1"/>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G900" s="1"/>
      <c r="H900" s="1"/>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G901" s="1"/>
      <c r="H901" s="1"/>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G902" s="1"/>
      <c r="H902" s="1"/>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G903" s="1"/>
      <c r="H903" s="1"/>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G904" s="1"/>
      <c r="H904" s="1"/>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G905" s="1"/>
      <c r="H905" s="1"/>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G906" s="1"/>
      <c r="H906" s="1"/>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G907" s="1"/>
      <c r="H907" s="1"/>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G908" s="1"/>
      <c r="H908" s="1"/>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G909" s="1"/>
      <c r="H909" s="1"/>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G910" s="1"/>
      <c r="H910" s="1"/>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G911" s="1"/>
      <c r="H911" s="1"/>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G912" s="1"/>
      <c r="H912" s="1"/>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G913" s="1"/>
      <c r="H913" s="1"/>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G914" s="1"/>
      <c r="H914" s="1"/>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G915" s="1"/>
      <c r="H915" s="1"/>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G916" s="1"/>
      <c r="H916" s="1"/>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G917" s="1"/>
      <c r="H917" s="1"/>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G918" s="1"/>
      <c r="H918" s="1"/>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G919" s="1"/>
      <c r="H919" s="1"/>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G920" s="1"/>
      <c r="H920" s="1"/>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G921" s="1"/>
      <c r="H921" s="1"/>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G922" s="1"/>
      <c r="H922" s="1"/>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G923" s="1"/>
      <c r="H923" s="1"/>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G924" s="1"/>
      <c r="H924" s="1"/>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G925" s="1"/>
      <c r="H925" s="1"/>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G926" s="1"/>
      <c r="H926" s="1"/>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G927" s="1"/>
      <c r="H927" s="1"/>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G928" s="1"/>
      <c r="H928" s="1"/>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G929" s="1"/>
      <c r="H929" s="1"/>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G930" s="1"/>
      <c r="H930" s="1"/>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G931" s="1"/>
      <c r="H931" s="1"/>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G932" s="1"/>
      <c r="H932" s="1"/>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G933" s="1"/>
      <c r="H933" s="1"/>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G934" s="1"/>
      <c r="H934" s="1"/>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G935" s="1"/>
      <c r="H935" s="1"/>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G936" s="1"/>
      <c r="H936" s="1"/>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G937" s="1"/>
      <c r="H937" s="1"/>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G938" s="1"/>
      <c r="H938" s="1"/>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G939" s="1"/>
      <c r="H939" s="1"/>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G940" s="1"/>
      <c r="H940" s="1"/>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G941" s="1"/>
      <c r="H941" s="1"/>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G942" s="1"/>
      <c r="H942" s="1"/>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G943" s="1"/>
      <c r="H943" s="1"/>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G944" s="1"/>
      <c r="H944" s="1"/>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G945" s="1"/>
      <c r="H945" s="1"/>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G946" s="1"/>
      <c r="H946" s="1"/>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G947" s="1"/>
      <c r="H947" s="1"/>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G948" s="1"/>
      <c r="H948" s="1"/>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G949" s="1"/>
      <c r="H949" s="1"/>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G950" s="1"/>
      <c r="H950" s="1"/>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G951" s="1"/>
      <c r="H951" s="1"/>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G952" s="1"/>
      <c r="H952" s="1"/>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G953" s="1"/>
      <c r="H953" s="1"/>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G954" s="1"/>
      <c r="H954" s="1"/>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G955" s="1"/>
      <c r="H955" s="1"/>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G956" s="1"/>
      <c r="H956" s="1"/>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G957" s="1"/>
      <c r="H957" s="1"/>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G958" s="1"/>
      <c r="H958" s="1"/>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G959" s="1"/>
      <c r="H959" s="1"/>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G960" s="1"/>
      <c r="H960" s="1"/>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G961" s="1"/>
      <c r="H961" s="1"/>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G962" s="1"/>
      <c r="H962" s="1"/>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G963" s="1"/>
      <c r="H963" s="1"/>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G964" s="1"/>
      <c r="H964" s="1"/>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G965" s="1"/>
      <c r="H965" s="1"/>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G966" s="1"/>
      <c r="H966" s="1"/>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G967" s="1"/>
      <c r="H967" s="1"/>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G968" s="1"/>
      <c r="H968" s="1"/>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G969" s="1"/>
      <c r="H969" s="1"/>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G970" s="1"/>
      <c r="H970" s="1"/>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G971" s="1"/>
      <c r="H971" s="1"/>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G972" s="1"/>
      <c r="H972" s="1"/>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G973" s="1"/>
      <c r="H973" s="1"/>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G974" s="1"/>
      <c r="H974" s="1"/>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G975" s="1"/>
      <c r="H975" s="1"/>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G976" s="1"/>
      <c r="H976" s="1"/>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G977" s="1"/>
      <c r="H977" s="1"/>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G978" s="1"/>
      <c r="H978" s="1"/>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G979" s="1"/>
      <c r="H979" s="1"/>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G980" s="1"/>
      <c r="H980" s="1"/>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G981" s="1"/>
      <c r="H981" s="1"/>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G982" s="1"/>
      <c r="H982" s="1"/>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G983" s="1"/>
      <c r="H983" s="1"/>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G984" s="1"/>
      <c r="H984" s="1"/>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G985" s="1"/>
      <c r="H985" s="1"/>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G986" s="1"/>
      <c r="H986" s="1"/>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G987" s="1"/>
      <c r="H987" s="1"/>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G988" s="1"/>
      <c r="H988" s="1"/>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G989" s="1"/>
      <c r="H989" s="1"/>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G990" s="1"/>
      <c r="H990" s="1"/>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G991" s="1"/>
      <c r="H991" s="1"/>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G992" s="1"/>
      <c r="H992" s="1"/>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G993" s="1"/>
      <c r="H993" s="1"/>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G994" s="1"/>
      <c r="H994" s="1"/>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G995" s="1"/>
      <c r="H995" s="1"/>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G996" s="1"/>
      <c r="H996" s="1"/>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G997" s="1"/>
      <c r="H997" s="1"/>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G998" s="1"/>
      <c r="H998" s="1"/>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G999" s="1"/>
      <c r="H999" s="1"/>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G1000" s="1"/>
      <c r="H1000" s="1"/>
      <c r="I1000" s="1"/>
      <c r="J1000" s="1"/>
      <c r="K1000" s="1"/>
      <c r="L1000" s="1"/>
      <c r="M1000" s="1"/>
      <c r="N1000" s="1"/>
      <c r="O1000" s="1"/>
      <c r="P1000" s="1"/>
      <c r="Q1000" s="1"/>
      <c r="R1000" s="1"/>
      <c r="S1000" s="1"/>
      <c r="T1000" s="1"/>
      <c r="U1000" s="1"/>
      <c r="V1000" s="1"/>
      <c r="W1000" s="1"/>
      <c r="X1000" s="1"/>
      <c r="Y1000" s="1"/>
      <c r="Z1000" s="1"/>
    </row>
  </sheetData>
  <mergeCells count="16">
    <mergeCell ref="B3:C3"/>
    <mergeCell ref="B4:C4"/>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5"/>
    <col collapsed="false" customWidth="true" hidden="false" outlineLevel="0" max="2" min="2" style="1" width="34.14"/>
    <col collapsed="false" customWidth="true" hidden="false" outlineLevel="0" max="3" min="3" style="1" width="26"/>
    <col collapsed="false" customWidth="true" hidden="false" outlineLevel="0" max="4" min="4" style="1" width="19.86"/>
    <col collapsed="false" customWidth="true" hidden="false" outlineLevel="0" max="5" min="5" style="1" width="14"/>
    <col collapsed="false" customWidth="true" hidden="false" outlineLevel="0" max="7" min="6" style="1" width="10"/>
    <col collapsed="false" customWidth="true" hidden="false" outlineLevel="0" max="8" min="8" style="1" width="13"/>
    <col collapsed="false" customWidth="true" hidden="false" outlineLevel="0" max="9" min="9" style="1" width="14"/>
    <col collapsed="false" customWidth="true" hidden="false" outlineLevel="0" max="11" min="10" style="1" width="12"/>
    <col collapsed="false" customWidth="true" hidden="false" outlineLevel="0" max="12" min="12" style="1" width="14"/>
  </cols>
  <sheetData>
    <row r="1" customFormat="false" ht="39.75" hidden="false" customHeight="true" outlineLevel="0" collapsed="false">
      <c r="A1" s="19" t="s">
        <v>53</v>
      </c>
      <c r="B1" s="19"/>
      <c r="C1" s="19"/>
      <c r="D1" s="19"/>
      <c r="E1" s="19"/>
      <c r="F1" s="19"/>
      <c r="G1" s="19"/>
      <c r="H1" s="19"/>
      <c r="I1" s="19"/>
      <c r="J1" s="19"/>
      <c r="K1" s="19"/>
      <c r="L1" s="19"/>
      <c r="M1" s="1"/>
      <c r="N1" s="1"/>
      <c r="O1" s="1"/>
      <c r="P1" s="1"/>
      <c r="Q1" s="1"/>
      <c r="R1" s="1"/>
      <c r="S1" s="1"/>
      <c r="T1" s="1"/>
      <c r="U1" s="1"/>
      <c r="V1" s="1"/>
      <c r="W1" s="1"/>
      <c r="X1" s="1"/>
      <c r="Y1" s="1"/>
    </row>
    <row r="2" customFormat="false" ht="19.5" hidden="false" customHeight="true" outlineLevel="0" collapsed="false">
      <c r="A2" s="20" t="s">
        <v>54</v>
      </c>
      <c r="B2" s="20"/>
      <c r="C2" s="20"/>
      <c r="D2" s="20"/>
      <c r="E2" s="20"/>
      <c r="F2" s="20"/>
      <c r="G2" s="20"/>
      <c r="H2" s="20"/>
      <c r="I2" s="20"/>
      <c r="J2" s="20"/>
      <c r="K2" s="20"/>
      <c r="L2" s="20"/>
      <c r="M2" s="1"/>
      <c r="N2" s="1"/>
      <c r="O2" s="1"/>
      <c r="P2" s="1"/>
      <c r="Q2" s="1"/>
      <c r="R2" s="1"/>
      <c r="S2" s="1"/>
      <c r="T2" s="1"/>
      <c r="U2" s="1"/>
      <c r="V2" s="1"/>
      <c r="W2" s="1"/>
      <c r="X2" s="1"/>
      <c r="Y2" s="1"/>
    </row>
    <row r="3" customFormat="false" ht="39" hidden="false" customHeight="true" outlineLevel="0" collapsed="false">
      <c r="A3" s="21" t="s">
        <v>55</v>
      </c>
      <c r="B3" s="21" t="s">
        <v>56</v>
      </c>
      <c r="C3" s="21" t="s">
        <v>57</v>
      </c>
      <c r="D3" s="21" t="s">
        <v>58</v>
      </c>
      <c r="E3" s="21" t="s">
        <v>59</v>
      </c>
      <c r="F3" s="21" t="s">
        <v>60</v>
      </c>
      <c r="G3" s="21" t="s">
        <v>61</v>
      </c>
      <c r="H3" s="21" t="s">
        <v>62</v>
      </c>
      <c r="I3" s="21" t="s">
        <v>63</v>
      </c>
      <c r="J3" s="21" t="s">
        <v>64</v>
      </c>
      <c r="K3" s="22" t="s">
        <v>65</v>
      </c>
      <c r="M3" s="1"/>
      <c r="N3" s="1"/>
      <c r="O3" s="1"/>
      <c r="P3" s="1"/>
      <c r="Q3" s="1"/>
      <c r="R3" s="1"/>
      <c r="S3" s="1"/>
      <c r="T3" s="1"/>
      <c r="U3" s="1"/>
      <c r="V3" s="1"/>
      <c r="W3" s="1"/>
      <c r="X3" s="1"/>
      <c r="Y3" s="1"/>
    </row>
    <row r="4" customFormat="false" ht="15" hidden="false" customHeight="true" outlineLevel="0" collapsed="false">
      <c r="A4" s="23" t="n">
        <v>1</v>
      </c>
      <c r="B4" s="24" t="s">
        <v>66</v>
      </c>
      <c r="C4" s="25" t="n">
        <v>6</v>
      </c>
      <c r="D4" s="25" t="n">
        <v>4</v>
      </c>
      <c r="E4" s="26" t="n">
        <f aca="false">C4/10</f>
        <v>0.6</v>
      </c>
      <c r="F4" s="25" t="n">
        <v>0</v>
      </c>
      <c r="G4" s="25" t="n">
        <v>6</v>
      </c>
      <c r="H4" s="25" t="s">
        <v>67</v>
      </c>
      <c r="I4" s="25" t="s">
        <v>68</v>
      </c>
      <c r="J4" s="25" t="n">
        <v>0</v>
      </c>
      <c r="K4" s="27" t="s">
        <v>69</v>
      </c>
      <c r="L4" s="4"/>
      <c r="M4" s="1"/>
      <c r="N4" s="1"/>
      <c r="O4" s="1"/>
      <c r="P4" s="1"/>
      <c r="Q4" s="1"/>
      <c r="R4" s="1"/>
      <c r="S4" s="1"/>
      <c r="T4" s="1"/>
      <c r="U4" s="1"/>
      <c r="V4" s="1"/>
      <c r="W4" s="1"/>
      <c r="X4" s="1"/>
      <c r="Y4" s="1"/>
    </row>
    <row r="5" customFormat="false" ht="15" hidden="false" customHeight="true" outlineLevel="0" collapsed="false">
      <c r="A5" s="28" t="n">
        <v>2</v>
      </c>
      <c r="B5" s="29" t="s">
        <v>70</v>
      </c>
      <c r="C5" s="30" t="n">
        <v>7</v>
      </c>
      <c r="D5" s="30" t="n">
        <v>3</v>
      </c>
      <c r="E5" s="31" t="n">
        <f aca="false">C5/10</f>
        <v>0.7</v>
      </c>
      <c r="F5" s="30" t="n">
        <v>0</v>
      </c>
      <c r="G5" s="30" t="n">
        <v>6</v>
      </c>
      <c r="H5" s="30" t="s">
        <v>71</v>
      </c>
      <c r="I5" s="30" t="s">
        <v>68</v>
      </c>
      <c r="J5" s="30" t="n">
        <v>0</v>
      </c>
      <c r="K5" s="32" t="s">
        <v>72</v>
      </c>
      <c r="L5" s="4"/>
      <c r="M5" s="1"/>
      <c r="N5" s="1"/>
      <c r="O5" s="1"/>
      <c r="P5" s="1"/>
      <c r="Q5" s="1"/>
      <c r="R5" s="1"/>
      <c r="S5" s="1"/>
      <c r="T5" s="1"/>
      <c r="U5" s="1"/>
      <c r="V5" s="1"/>
      <c r="W5" s="1"/>
      <c r="X5" s="1"/>
      <c r="Y5" s="1"/>
    </row>
    <row r="6" customFormat="false" ht="15" hidden="false" customHeight="true" outlineLevel="0" collapsed="false">
      <c r="A6" s="23" t="n">
        <v>3</v>
      </c>
      <c r="B6" s="24" t="s">
        <v>73</v>
      </c>
      <c r="C6" s="25" t="n">
        <v>9</v>
      </c>
      <c r="D6" s="25" t="n">
        <v>1</v>
      </c>
      <c r="E6" s="26" t="n">
        <f aca="false">C6/10</f>
        <v>0.9</v>
      </c>
      <c r="F6" s="25" t="n">
        <v>1</v>
      </c>
      <c r="G6" s="25" t="n">
        <v>4</v>
      </c>
      <c r="H6" s="25" t="s">
        <v>74</v>
      </c>
      <c r="I6" s="25" t="n">
        <v>8.55</v>
      </c>
      <c r="J6" s="25" t="n">
        <v>0</v>
      </c>
      <c r="K6" s="33" t="s">
        <v>75</v>
      </c>
      <c r="L6" s="4"/>
      <c r="M6" s="1"/>
      <c r="N6" s="1"/>
      <c r="O6" s="1"/>
      <c r="P6" s="1"/>
      <c r="Q6" s="1"/>
      <c r="R6" s="1"/>
      <c r="S6" s="1"/>
      <c r="T6" s="1"/>
      <c r="U6" s="1"/>
      <c r="V6" s="1"/>
      <c r="W6" s="1"/>
      <c r="X6" s="1"/>
      <c r="Y6" s="1"/>
    </row>
    <row r="7" customFormat="false" ht="15" hidden="false" customHeight="true" outlineLevel="0" collapsed="false">
      <c r="A7" s="28" t="n">
        <v>4</v>
      </c>
      <c r="B7" s="29" t="s">
        <v>76</v>
      </c>
      <c r="C7" s="30" t="n">
        <v>10</v>
      </c>
      <c r="D7" s="30" t="n">
        <v>0</v>
      </c>
      <c r="E7" s="31" t="n">
        <f aca="false">C7/10</f>
        <v>1</v>
      </c>
      <c r="F7" s="30" t="n">
        <v>10</v>
      </c>
      <c r="G7" s="30" t="n">
        <v>0</v>
      </c>
      <c r="H7" s="30" t="s">
        <v>77</v>
      </c>
      <c r="I7" s="30" t="n">
        <v>9.82</v>
      </c>
      <c r="J7" s="30" t="n">
        <v>7</v>
      </c>
      <c r="K7" s="30"/>
      <c r="L7" s="4"/>
      <c r="M7" s="1"/>
      <c r="N7" s="1"/>
      <c r="O7" s="1"/>
      <c r="P7" s="1"/>
      <c r="Q7" s="1"/>
      <c r="R7" s="1"/>
      <c r="S7" s="1"/>
      <c r="T7" s="1"/>
      <c r="U7" s="1"/>
      <c r="V7" s="1"/>
      <c r="W7" s="1"/>
      <c r="X7" s="1"/>
      <c r="Y7" s="1"/>
    </row>
    <row r="8" customFormat="false" ht="15" hidden="false" customHeight="true" outlineLevel="0" collapsed="false">
      <c r="A8" s="23" t="n">
        <v>5</v>
      </c>
      <c r="B8" s="24" t="s">
        <v>78</v>
      </c>
      <c r="C8" s="25" t="n">
        <v>9</v>
      </c>
      <c r="D8" s="25" t="n">
        <v>1</v>
      </c>
      <c r="E8" s="26" t="n">
        <f aca="false">C8/10</f>
        <v>0.9</v>
      </c>
      <c r="F8" s="25" t="n">
        <v>9</v>
      </c>
      <c r="G8" s="25" t="n">
        <v>0</v>
      </c>
      <c r="H8" s="25" t="s">
        <v>79</v>
      </c>
      <c r="I8" s="25" t="n">
        <v>9.71</v>
      </c>
      <c r="J8" s="25" t="n">
        <v>4</v>
      </c>
      <c r="K8" s="33" t="s">
        <v>75</v>
      </c>
      <c r="L8" s="4"/>
      <c r="M8" s="1"/>
      <c r="N8" s="1"/>
      <c r="O8" s="1"/>
      <c r="P8" s="1"/>
      <c r="Q8" s="1"/>
      <c r="R8" s="1"/>
      <c r="S8" s="1"/>
      <c r="T8" s="1"/>
      <c r="U8" s="1"/>
      <c r="V8" s="1"/>
      <c r="W8" s="1"/>
      <c r="X8" s="1"/>
      <c r="Y8" s="1"/>
    </row>
    <row r="9" customFormat="false" ht="15" hidden="false" customHeight="true" outlineLevel="0" collapsed="false">
      <c r="A9" s="28" t="n">
        <v>6</v>
      </c>
      <c r="B9" s="29" t="s">
        <v>80</v>
      </c>
      <c r="C9" s="30" t="n">
        <v>6</v>
      </c>
      <c r="D9" s="30" t="n">
        <v>4</v>
      </c>
      <c r="E9" s="31" t="n">
        <f aca="false">C9/10</f>
        <v>0.6</v>
      </c>
      <c r="F9" s="30" t="n">
        <v>2</v>
      </c>
      <c r="G9" s="30" t="n">
        <v>4</v>
      </c>
      <c r="H9" s="30" t="s">
        <v>81</v>
      </c>
      <c r="I9" s="30" t="s">
        <v>68</v>
      </c>
      <c r="J9" s="30" t="n">
        <v>0</v>
      </c>
      <c r="K9" s="32" t="s">
        <v>72</v>
      </c>
      <c r="L9" s="4"/>
      <c r="M9" s="1"/>
      <c r="N9" s="1"/>
      <c r="O9" s="1"/>
      <c r="P9" s="1"/>
      <c r="Q9" s="1"/>
      <c r="R9" s="1"/>
      <c r="S9" s="1"/>
      <c r="T9" s="1"/>
      <c r="U9" s="1"/>
      <c r="V9" s="1"/>
      <c r="W9" s="1"/>
      <c r="X9" s="1"/>
      <c r="Y9" s="1"/>
    </row>
    <row r="10" customFormat="false" ht="15" hidden="false" customHeight="true" outlineLevel="0" collapsed="false">
      <c r="A10" s="23" t="n">
        <v>7</v>
      </c>
      <c r="B10" s="24" t="s">
        <v>82</v>
      </c>
      <c r="C10" s="25" t="n">
        <v>9</v>
      </c>
      <c r="D10" s="25" t="n">
        <v>1</v>
      </c>
      <c r="E10" s="26" t="n">
        <f aca="false">C10/10</f>
        <v>0.9</v>
      </c>
      <c r="F10" s="25" t="n">
        <v>0</v>
      </c>
      <c r="G10" s="25" t="n">
        <v>0</v>
      </c>
      <c r="H10" s="25" t="s">
        <v>83</v>
      </c>
      <c r="I10" s="25" t="n">
        <v>8.82</v>
      </c>
      <c r="J10" s="25" t="n">
        <v>6</v>
      </c>
      <c r="K10" s="25"/>
      <c r="L10" s="4"/>
      <c r="M10" s="1"/>
      <c r="N10" s="1"/>
      <c r="O10" s="1"/>
      <c r="P10" s="1"/>
      <c r="Q10" s="1"/>
      <c r="R10" s="1"/>
      <c r="S10" s="1"/>
      <c r="T10" s="1"/>
      <c r="U10" s="1"/>
      <c r="V10" s="1"/>
      <c r="W10" s="1"/>
      <c r="X10" s="1"/>
      <c r="Y10" s="1"/>
    </row>
    <row r="11" customFormat="false" ht="15" hidden="false" customHeight="true" outlineLevel="0" collapsed="false">
      <c r="A11" s="28" t="n">
        <v>8</v>
      </c>
      <c r="B11" s="29" t="s">
        <v>84</v>
      </c>
      <c r="C11" s="30" t="n">
        <v>6</v>
      </c>
      <c r="D11" s="30" t="n">
        <v>4</v>
      </c>
      <c r="E11" s="31" t="n">
        <f aca="false">C11/10</f>
        <v>0.6</v>
      </c>
      <c r="F11" s="30" t="n">
        <v>5</v>
      </c>
      <c r="G11" s="30" t="n">
        <v>1</v>
      </c>
      <c r="H11" s="30" t="s">
        <v>85</v>
      </c>
      <c r="I11" s="30" t="n">
        <v>10.94</v>
      </c>
      <c r="J11" s="30" t="n">
        <v>3</v>
      </c>
      <c r="K11" s="30"/>
      <c r="L11" s="4"/>
      <c r="M11" s="1"/>
      <c r="N11" s="1"/>
      <c r="O11" s="1"/>
      <c r="P11" s="1"/>
      <c r="Q11" s="1"/>
      <c r="R11" s="1"/>
      <c r="S11" s="1"/>
      <c r="T11" s="1"/>
      <c r="U11" s="1"/>
      <c r="V11" s="1"/>
      <c r="W11" s="1"/>
      <c r="X11" s="1"/>
      <c r="Y11" s="1"/>
    </row>
    <row r="12" customFormat="false" ht="15" hidden="false" customHeight="true" outlineLevel="0" collapsed="false">
      <c r="A12" s="23" t="n">
        <v>9</v>
      </c>
      <c r="B12" s="24" t="s">
        <v>86</v>
      </c>
      <c r="C12" s="25" t="n">
        <v>10</v>
      </c>
      <c r="D12" s="25" t="n">
        <v>0</v>
      </c>
      <c r="E12" s="26" t="n">
        <f aca="false">C12/10</f>
        <v>1</v>
      </c>
      <c r="F12" s="25" t="n">
        <v>0</v>
      </c>
      <c r="G12" s="25" t="n">
        <v>10</v>
      </c>
      <c r="H12" s="25" t="s">
        <v>87</v>
      </c>
      <c r="I12" s="25" t="n">
        <v>7.94</v>
      </c>
      <c r="J12" s="25" t="n">
        <v>1</v>
      </c>
      <c r="K12" s="33" t="s">
        <v>75</v>
      </c>
      <c r="L12" s="4"/>
      <c r="M12" s="1"/>
      <c r="N12" s="1"/>
      <c r="O12" s="1"/>
      <c r="P12" s="1"/>
      <c r="Q12" s="1"/>
      <c r="R12" s="1"/>
      <c r="S12" s="1"/>
      <c r="T12" s="1"/>
      <c r="U12" s="1"/>
      <c r="V12" s="1"/>
      <c r="W12" s="1"/>
      <c r="X12" s="1"/>
      <c r="Y12" s="1"/>
    </row>
    <row r="13" customFormat="false" ht="15" hidden="false" customHeight="true" outlineLevel="0" collapsed="false">
      <c r="A13" s="28" t="n">
        <v>10</v>
      </c>
      <c r="B13" s="29" t="s">
        <v>88</v>
      </c>
      <c r="C13" s="30" t="n">
        <v>10</v>
      </c>
      <c r="D13" s="30" t="n">
        <v>0</v>
      </c>
      <c r="E13" s="31" t="n">
        <f aca="false">C13/10</f>
        <v>1</v>
      </c>
      <c r="F13" s="30" t="n">
        <v>6</v>
      </c>
      <c r="G13" s="30" t="n">
        <v>1</v>
      </c>
      <c r="H13" s="30" t="s">
        <v>89</v>
      </c>
      <c r="I13" s="30" t="n">
        <v>8.99</v>
      </c>
      <c r="J13" s="30" t="n">
        <v>5</v>
      </c>
      <c r="K13" s="34" t="s">
        <v>90</v>
      </c>
      <c r="L13" s="4"/>
      <c r="M13" s="1"/>
      <c r="N13" s="1"/>
      <c r="O13" s="1"/>
      <c r="P13" s="1"/>
      <c r="Q13" s="1"/>
      <c r="R13" s="1"/>
      <c r="S13" s="1"/>
      <c r="T13" s="1"/>
      <c r="U13" s="1"/>
      <c r="V13" s="1"/>
      <c r="W13" s="1"/>
      <c r="X13" s="1"/>
      <c r="Y13" s="1"/>
    </row>
    <row r="14" customFormat="false" ht="15" hidden="false" customHeight="true" outlineLevel="0" collapsed="false">
      <c r="A14" s="23" t="n">
        <v>11</v>
      </c>
      <c r="B14" s="24" t="s">
        <v>91</v>
      </c>
      <c r="C14" s="25" t="n">
        <v>10</v>
      </c>
      <c r="D14" s="25" t="n">
        <v>0</v>
      </c>
      <c r="E14" s="26" t="n">
        <f aca="false">C14/10</f>
        <v>1</v>
      </c>
      <c r="F14" s="25" t="n">
        <v>9</v>
      </c>
      <c r="G14" s="25" t="n">
        <v>1</v>
      </c>
      <c r="H14" s="25" t="s">
        <v>92</v>
      </c>
      <c r="I14" s="25" t="n">
        <v>8.93</v>
      </c>
      <c r="J14" s="25" t="n">
        <v>5</v>
      </c>
      <c r="K14" s="25"/>
      <c r="L14" s="4"/>
      <c r="M14" s="1"/>
      <c r="N14" s="1"/>
      <c r="O14" s="1"/>
      <c r="P14" s="1"/>
      <c r="Q14" s="1"/>
      <c r="R14" s="1"/>
      <c r="S14" s="1"/>
      <c r="T14" s="1"/>
      <c r="U14" s="1"/>
      <c r="V14" s="1"/>
      <c r="W14" s="1"/>
      <c r="X14" s="1"/>
      <c r="Y14" s="1"/>
    </row>
    <row r="15" customFormat="false" ht="15" hidden="false" customHeight="true" outlineLevel="0" collapsed="false">
      <c r="A15" s="28" t="n">
        <v>12</v>
      </c>
      <c r="B15" s="29" t="s">
        <v>93</v>
      </c>
      <c r="C15" s="30" t="n">
        <v>1</v>
      </c>
      <c r="D15" s="30" t="n">
        <v>9</v>
      </c>
      <c r="E15" s="31" t="n">
        <f aca="false">C15/10</f>
        <v>0.1</v>
      </c>
      <c r="F15" s="30" t="n">
        <v>0</v>
      </c>
      <c r="G15" s="30" t="n">
        <v>1</v>
      </c>
      <c r="H15" s="30" t="s">
        <v>94</v>
      </c>
      <c r="I15" s="30" t="n">
        <v>3.24</v>
      </c>
      <c r="J15" s="30" t="n">
        <v>0</v>
      </c>
      <c r="K15" s="32" t="s">
        <v>72</v>
      </c>
      <c r="L15" s="4"/>
      <c r="M15" s="1"/>
      <c r="N15" s="1"/>
      <c r="O15" s="1"/>
      <c r="P15" s="1"/>
      <c r="Q15" s="1"/>
      <c r="R15" s="1"/>
      <c r="S15" s="1"/>
      <c r="T15" s="1"/>
      <c r="U15" s="1"/>
      <c r="V15" s="1"/>
      <c r="W15" s="1"/>
      <c r="X15" s="1"/>
      <c r="Y15" s="1"/>
    </row>
    <row r="16" customFormat="false" ht="15" hidden="false" customHeight="true" outlineLevel="0" collapsed="false">
      <c r="A16" s="23" t="n">
        <v>13</v>
      </c>
      <c r="B16" s="24" t="s">
        <v>95</v>
      </c>
      <c r="C16" s="25" t="n">
        <v>5</v>
      </c>
      <c r="D16" s="25" t="n">
        <v>5</v>
      </c>
      <c r="E16" s="26" t="n">
        <f aca="false">C16/10</f>
        <v>0.5</v>
      </c>
      <c r="F16" s="25" t="n">
        <v>2</v>
      </c>
      <c r="G16" s="25" t="n">
        <v>3</v>
      </c>
      <c r="H16" s="25" t="s">
        <v>96</v>
      </c>
      <c r="I16" s="25" t="s">
        <v>68</v>
      </c>
      <c r="J16" s="25" t="n">
        <v>3</v>
      </c>
      <c r="K16" s="25"/>
      <c r="L16" s="4"/>
      <c r="M16" s="1"/>
      <c r="N16" s="1"/>
      <c r="O16" s="1"/>
      <c r="P16" s="1"/>
      <c r="Q16" s="1"/>
      <c r="R16" s="1"/>
      <c r="S16" s="1"/>
      <c r="T16" s="1"/>
      <c r="U16" s="1"/>
      <c r="V16" s="1"/>
      <c r="W16" s="1"/>
      <c r="X16" s="1"/>
      <c r="Y16" s="1"/>
    </row>
    <row r="17" customFormat="false" ht="15" hidden="false" customHeight="true" outlineLevel="0" collapsed="false">
      <c r="A17" s="28" t="n">
        <v>14</v>
      </c>
      <c r="B17" s="29" t="s">
        <v>97</v>
      </c>
      <c r="C17" s="30" t="n">
        <v>10</v>
      </c>
      <c r="D17" s="30" t="n">
        <v>0</v>
      </c>
      <c r="E17" s="31" t="n">
        <f aca="false">C17/10</f>
        <v>1</v>
      </c>
      <c r="F17" s="30" t="n">
        <v>10</v>
      </c>
      <c r="G17" s="30" t="n">
        <v>0</v>
      </c>
      <c r="H17" s="30" t="s">
        <v>98</v>
      </c>
      <c r="I17" s="30" t="n">
        <v>9.14</v>
      </c>
      <c r="J17" s="30" t="n">
        <v>4</v>
      </c>
      <c r="K17" s="30"/>
      <c r="L17" s="4"/>
      <c r="M17" s="1"/>
      <c r="N17" s="1"/>
      <c r="O17" s="1"/>
      <c r="P17" s="1"/>
      <c r="Q17" s="1"/>
      <c r="R17" s="1"/>
      <c r="S17" s="1"/>
      <c r="T17" s="1"/>
      <c r="U17" s="1"/>
      <c r="V17" s="1"/>
      <c r="W17" s="1"/>
      <c r="X17" s="1"/>
      <c r="Y17" s="1"/>
    </row>
    <row r="18" customFormat="false" ht="15" hidden="false" customHeight="true" outlineLevel="0" collapsed="false">
      <c r="A18" s="23" t="n">
        <v>15</v>
      </c>
      <c r="B18" s="24" t="s">
        <v>99</v>
      </c>
      <c r="C18" s="25" t="n">
        <v>10</v>
      </c>
      <c r="D18" s="25" t="n">
        <v>0</v>
      </c>
      <c r="E18" s="26" t="n">
        <f aca="false">C18/10</f>
        <v>1</v>
      </c>
      <c r="F18" s="25" t="n">
        <v>5</v>
      </c>
      <c r="G18" s="25" t="n">
        <v>1</v>
      </c>
      <c r="H18" s="25" t="s">
        <v>100</v>
      </c>
      <c r="I18" s="25" t="n">
        <v>8.52</v>
      </c>
      <c r="J18" s="25" t="n">
        <v>9</v>
      </c>
      <c r="K18" s="25"/>
      <c r="L18" s="4"/>
      <c r="M18" s="1"/>
      <c r="N18" s="1"/>
      <c r="O18" s="1"/>
      <c r="P18" s="1"/>
      <c r="Q18" s="1"/>
      <c r="R18" s="1"/>
      <c r="S18" s="1"/>
      <c r="T18" s="1"/>
      <c r="U18" s="1"/>
      <c r="V18" s="1"/>
      <c r="W18" s="1"/>
      <c r="X18" s="1"/>
      <c r="Y18" s="1"/>
    </row>
    <row r="19" customFormat="false" ht="15" hidden="false" customHeight="true" outlineLevel="0" collapsed="false">
      <c r="A19" s="28" t="n">
        <v>16</v>
      </c>
      <c r="B19" s="29" t="s">
        <v>101</v>
      </c>
      <c r="C19" s="30" t="n">
        <v>10</v>
      </c>
      <c r="D19" s="30" t="n">
        <v>0</v>
      </c>
      <c r="E19" s="31" t="n">
        <f aca="false">C19/10</f>
        <v>1</v>
      </c>
      <c r="F19" s="30" t="n">
        <v>2</v>
      </c>
      <c r="G19" s="30" t="n">
        <v>0</v>
      </c>
      <c r="H19" s="30" t="s">
        <v>102</v>
      </c>
      <c r="I19" s="30" t="n">
        <v>8.85</v>
      </c>
      <c r="J19" s="30" t="n">
        <v>5</v>
      </c>
      <c r="K19" s="30"/>
      <c r="L19" s="4"/>
      <c r="M19" s="1"/>
      <c r="N19" s="1"/>
      <c r="O19" s="1"/>
      <c r="P19" s="1"/>
      <c r="Q19" s="1"/>
      <c r="R19" s="1"/>
      <c r="S19" s="1"/>
      <c r="T19" s="1"/>
      <c r="U19" s="1"/>
      <c r="V19" s="1"/>
      <c r="W19" s="1"/>
      <c r="X19" s="1"/>
      <c r="Y19" s="1"/>
    </row>
    <row r="20" customFormat="false" ht="15" hidden="false" customHeight="true" outlineLevel="0" collapsed="false">
      <c r="A20" s="23" t="n">
        <v>17</v>
      </c>
      <c r="B20" s="24" t="s">
        <v>103</v>
      </c>
      <c r="C20" s="25" t="n">
        <v>10</v>
      </c>
      <c r="D20" s="25" t="n">
        <v>0</v>
      </c>
      <c r="E20" s="26" t="n">
        <f aca="false">C20/10</f>
        <v>1</v>
      </c>
      <c r="F20" s="25" t="n">
        <v>4</v>
      </c>
      <c r="G20" s="25" t="n">
        <v>2</v>
      </c>
      <c r="H20" s="25" t="s">
        <v>104</v>
      </c>
      <c r="I20" s="25" t="s">
        <v>68</v>
      </c>
      <c r="J20" s="25" t="n">
        <v>0</v>
      </c>
      <c r="K20" s="25"/>
      <c r="L20" s="4"/>
      <c r="M20" s="1"/>
      <c r="N20" s="1"/>
      <c r="O20" s="1"/>
      <c r="P20" s="1"/>
      <c r="Q20" s="1"/>
      <c r="R20" s="1"/>
      <c r="S20" s="1"/>
      <c r="T20" s="1"/>
      <c r="U20" s="1"/>
      <c r="V20" s="1"/>
      <c r="W20" s="1"/>
      <c r="X20" s="1"/>
      <c r="Y20" s="1"/>
    </row>
    <row r="21" customFormat="false" ht="15.75" hidden="false" customHeight="true" outlineLevel="0" collapsed="false">
      <c r="A21" s="28" t="n">
        <v>18</v>
      </c>
      <c r="B21" s="29" t="s">
        <v>105</v>
      </c>
      <c r="C21" s="30" t="n">
        <v>10</v>
      </c>
      <c r="D21" s="30" t="n">
        <v>0</v>
      </c>
      <c r="E21" s="31" t="n">
        <f aca="false">C21/10</f>
        <v>1</v>
      </c>
      <c r="F21" s="30" t="n">
        <v>10</v>
      </c>
      <c r="G21" s="30" t="n">
        <v>0</v>
      </c>
      <c r="H21" s="30" t="s">
        <v>106</v>
      </c>
      <c r="I21" s="30" t="n">
        <v>9.33</v>
      </c>
      <c r="J21" s="30" t="n">
        <v>5</v>
      </c>
      <c r="K21" s="30"/>
      <c r="L21" s="4"/>
      <c r="M21" s="1"/>
      <c r="N21" s="1"/>
      <c r="O21" s="1"/>
      <c r="P21" s="1"/>
      <c r="Q21" s="1"/>
      <c r="R21" s="1"/>
      <c r="S21" s="1"/>
      <c r="T21" s="1"/>
      <c r="U21" s="1"/>
      <c r="V21" s="1"/>
      <c r="W21" s="1"/>
      <c r="X21" s="1"/>
      <c r="Y21" s="1"/>
    </row>
    <row r="22" customFormat="false" ht="15.75" hidden="false" customHeight="true" outlineLevel="0" collapsed="false">
      <c r="A22" s="23" t="n">
        <v>19</v>
      </c>
      <c r="B22" s="24" t="s">
        <v>107</v>
      </c>
      <c r="C22" s="25" t="n">
        <v>2</v>
      </c>
      <c r="D22" s="25" t="n">
        <v>8</v>
      </c>
      <c r="E22" s="26" t="n">
        <f aca="false">C22/10</f>
        <v>0.2</v>
      </c>
      <c r="F22" s="25" t="n">
        <v>1</v>
      </c>
      <c r="G22" s="25" t="n">
        <v>0</v>
      </c>
      <c r="H22" s="25" t="s">
        <v>108</v>
      </c>
      <c r="I22" s="25" t="n">
        <v>8.88</v>
      </c>
      <c r="J22" s="25" t="n">
        <v>1</v>
      </c>
      <c r="K22" s="25"/>
      <c r="L22" s="4"/>
      <c r="M22" s="1"/>
      <c r="N22" s="1"/>
      <c r="O22" s="1"/>
      <c r="P22" s="1"/>
      <c r="Q22" s="1"/>
      <c r="R22" s="1"/>
      <c r="S22" s="1"/>
      <c r="T22" s="1"/>
      <c r="U22" s="1"/>
      <c r="V22" s="1"/>
      <c r="W22" s="1"/>
      <c r="X22" s="1"/>
      <c r="Y22" s="1"/>
    </row>
    <row r="23" customFormat="false" ht="15.75" hidden="false" customHeight="true" outlineLevel="0" collapsed="false">
      <c r="A23" s="28" t="n">
        <v>20</v>
      </c>
      <c r="B23" s="29" t="s">
        <v>109</v>
      </c>
      <c r="C23" s="30" t="n">
        <v>10</v>
      </c>
      <c r="D23" s="30" t="n">
        <v>0</v>
      </c>
      <c r="E23" s="31" t="n">
        <f aca="false">C23/10</f>
        <v>1</v>
      </c>
      <c r="F23" s="30" t="n">
        <v>1</v>
      </c>
      <c r="G23" s="30" t="n">
        <v>0</v>
      </c>
      <c r="H23" s="30" t="s">
        <v>110</v>
      </c>
      <c r="I23" s="30" t="n">
        <v>9.22</v>
      </c>
      <c r="J23" s="30" t="n">
        <v>0</v>
      </c>
      <c r="K23" s="30"/>
      <c r="L23" s="4"/>
      <c r="M23" s="1"/>
      <c r="N23" s="1"/>
      <c r="O23" s="1"/>
      <c r="P23" s="1"/>
      <c r="Q23" s="1"/>
      <c r="R23" s="1"/>
      <c r="S23" s="1"/>
      <c r="T23" s="1"/>
      <c r="U23" s="1"/>
      <c r="V23" s="1"/>
      <c r="W23" s="1"/>
      <c r="X23" s="1"/>
      <c r="Y23" s="1"/>
    </row>
    <row r="24" customFormat="false" ht="15.75" hidden="false" customHeight="true" outlineLevel="0" collapsed="false">
      <c r="A24" s="23" t="n">
        <v>21</v>
      </c>
      <c r="B24" s="24" t="s">
        <v>111</v>
      </c>
      <c r="C24" s="25" t="n">
        <v>8</v>
      </c>
      <c r="D24" s="25" t="n">
        <v>2</v>
      </c>
      <c r="E24" s="26" t="n">
        <f aca="false">C24/10</f>
        <v>0.8</v>
      </c>
      <c r="F24" s="25" t="n">
        <v>4</v>
      </c>
      <c r="G24" s="25" t="n">
        <v>0</v>
      </c>
      <c r="H24" s="25" t="s">
        <v>112</v>
      </c>
      <c r="I24" s="25" t="n">
        <v>9.27</v>
      </c>
      <c r="J24" s="25" t="n">
        <v>4</v>
      </c>
      <c r="K24" s="25"/>
      <c r="L24" s="4"/>
      <c r="M24" s="1"/>
      <c r="N24" s="1"/>
      <c r="O24" s="1"/>
      <c r="P24" s="1"/>
      <c r="Q24" s="1"/>
      <c r="R24" s="1"/>
      <c r="S24" s="1"/>
      <c r="T24" s="1"/>
      <c r="U24" s="1"/>
      <c r="V24" s="1"/>
      <c r="W24" s="1"/>
      <c r="X24" s="1"/>
      <c r="Y24" s="1"/>
    </row>
    <row r="25" customFormat="false" ht="15.75" hidden="false" customHeight="true" outlineLevel="0" collapsed="false">
      <c r="A25" s="28" t="n">
        <v>22</v>
      </c>
      <c r="B25" s="29" t="s">
        <v>113</v>
      </c>
      <c r="C25" s="30" t="n">
        <v>10</v>
      </c>
      <c r="D25" s="30" t="n">
        <v>0</v>
      </c>
      <c r="E25" s="31" t="n">
        <f aca="false">C25/10</f>
        <v>1</v>
      </c>
      <c r="F25" s="30" t="n">
        <v>0</v>
      </c>
      <c r="G25" s="30" t="n">
        <v>4</v>
      </c>
      <c r="H25" s="30" t="s">
        <v>114</v>
      </c>
      <c r="I25" s="30" t="n">
        <v>9.3</v>
      </c>
      <c r="J25" s="30" t="n">
        <v>0</v>
      </c>
      <c r="K25" s="30"/>
      <c r="L25" s="4"/>
      <c r="M25" s="1"/>
      <c r="N25" s="1"/>
      <c r="O25" s="1"/>
      <c r="P25" s="1"/>
      <c r="Q25" s="1"/>
      <c r="R25" s="1"/>
      <c r="S25" s="1"/>
      <c r="T25" s="1"/>
      <c r="U25" s="1"/>
      <c r="V25" s="1"/>
      <c r="W25" s="1"/>
      <c r="X25" s="1"/>
      <c r="Y25" s="1"/>
    </row>
    <row r="26" customFormat="false" ht="15.75" hidden="false" customHeight="true" outlineLevel="0" collapsed="false">
      <c r="A26" s="23" t="n">
        <v>23</v>
      </c>
      <c r="B26" s="24" t="s">
        <v>115</v>
      </c>
      <c r="C26" s="25" t="n">
        <v>9</v>
      </c>
      <c r="D26" s="25" t="n">
        <v>1</v>
      </c>
      <c r="E26" s="26" t="n">
        <f aca="false">C26/10</f>
        <v>0.9</v>
      </c>
      <c r="F26" s="25" t="n">
        <v>8</v>
      </c>
      <c r="G26" s="25" t="n">
        <v>0</v>
      </c>
      <c r="H26" s="25" t="s">
        <v>116</v>
      </c>
      <c r="I26" s="25" t="n">
        <v>9.18</v>
      </c>
      <c r="J26" s="25" t="n">
        <v>6</v>
      </c>
      <c r="K26" s="25"/>
      <c r="L26" s="4"/>
      <c r="M26" s="1"/>
      <c r="N26" s="1"/>
      <c r="O26" s="1"/>
      <c r="P26" s="1"/>
      <c r="Q26" s="1"/>
      <c r="R26" s="1"/>
      <c r="S26" s="1"/>
      <c r="T26" s="1"/>
      <c r="U26" s="1"/>
      <c r="V26" s="1"/>
      <c r="W26" s="1"/>
      <c r="X26" s="1"/>
      <c r="Y26" s="1"/>
    </row>
    <row r="27" customFormat="false" ht="15.75" hidden="false" customHeight="true" outlineLevel="0" collapsed="false">
      <c r="A27" s="28" t="n">
        <v>24</v>
      </c>
      <c r="B27" s="29" t="s">
        <v>117</v>
      </c>
      <c r="C27" s="30" t="n">
        <v>4</v>
      </c>
      <c r="D27" s="30" t="n">
        <v>6</v>
      </c>
      <c r="E27" s="31" t="n">
        <f aca="false">C27/10</f>
        <v>0.4</v>
      </c>
      <c r="F27" s="30" t="n">
        <v>0</v>
      </c>
      <c r="G27" s="30" t="n">
        <v>4</v>
      </c>
      <c r="H27" s="30" t="s">
        <v>118</v>
      </c>
      <c r="I27" s="30" t="s">
        <v>68</v>
      </c>
      <c r="J27" s="30" t="n">
        <v>0</v>
      </c>
      <c r="K27" s="27" t="s">
        <v>69</v>
      </c>
      <c r="L27" s="4"/>
      <c r="M27" s="1"/>
      <c r="N27" s="1"/>
      <c r="O27" s="1"/>
      <c r="P27" s="1"/>
      <c r="Q27" s="1"/>
      <c r="R27" s="1"/>
      <c r="S27" s="1"/>
      <c r="T27" s="1"/>
      <c r="U27" s="1"/>
      <c r="V27" s="1"/>
      <c r="W27" s="1"/>
      <c r="X27" s="1"/>
      <c r="Y27" s="1"/>
    </row>
    <row r="28" customFormat="false" ht="15.75" hidden="false" customHeight="true" outlineLevel="0" collapsed="false">
      <c r="A28" s="23" t="n">
        <v>25</v>
      </c>
      <c r="B28" s="24" t="s">
        <v>119</v>
      </c>
      <c r="C28" s="25" t="n">
        <v>9</v>
      </c>
      <c r="D28" s="25" t="n">
        <v>1</v>
      </c>
      <c r="E28" s="26" t="n">
        <f aca="false">C28/10</f>
        <v>0.9</v>
      </c>
      <c r="F28" s="25" t="n">
        <v>8</v>
      </c>
      <c r="G28" s="25" t="n">
        <v>1</v>
      </c>
      <c r="H28" s="25" t="s">
        <v>120</v>
      </c>
      <c r="I28" s="25" t="s">
        <v>68</v>
      </c>
      <c r="J28" s="25" t="n">
        <v>1</v>
      </c>
      <c r="K28" s="25"/>
      <c r="L28" s="4"/>
      <c r="M28" s="1"/>
      <c r="N28" s="1"/>
      <c r="O28" s="1"/>
      <c r="P28" s="1"/>
      <c r="Q28" s="1"/>
      <c r="R28" s="1"/>
      <c r="S28" s="1"/>
      <c r="T28" s="1"/>
      <c r="U28" s="1"/>
      <c r="V28" s="1"/>
      <c r="W28" s="1"/>
      <c r="X28" s="1"/>
      <c r="Y28" s="1"/>
    </row>
    <row r="29" customFormat="false" ht="15.75" hidden="false" customHeight="true" outlineLevel="0" collapsed="false">
      <c r="A29" s="28" t="n">
        <v>26</v>
      </c>
      <c r="B29" s="29" t="s">
        <v>121</v>
      </c>
      <c r="C29" s="30" t="n">
        <v>8</v>
      </c>
      <c r="D29" s="30" t="n">
        <v>2</v>
      </c>
      <c r="E29" s="31" t="n">
        <f aca="false">C29/10</f>
        <v>0.8</v>
      </c>
      <c r="F29" s="30" t="n">
        <v>1</v>
      </c>
      <c r="G29" s="30" t="n">
        <v>7</v>
      </c>
      <c r="H29" s="30" t="s">
        <v>122</v>
      </c>
      <c r="I29" s="30" t="s">
        <v>68</v>
      </c>
      <c r="J29" s="30" t="n">
        <v>0</v>
      </c>
      <c r="K29" s="27" t="s">
        <v>69</v>
      </c>
      <c r="L29" s="4"/>
      <c r="M29" s="1"/>
      <c r="N29" s="1"/>
      <c r="O29" s="1"/>
      <c r="P29" s="1"/>
      <c r="Q29" s="1"/>
      <c r="R29" s="1"/>
      <c r="S29" s="1"/>
      <c r="T29" s="1"/>
      <c r="U29" s="1"/>
      <c r="V29" s="1"/>
      <c r="W29" s="1"/>
      <c r="X29" s="1"/>
      <c r="Y29" s="1"/>
    </row>
    <row r="30" customFormat="false" ht="15.75" hidden="false" customHeight="true" outlineLevel="0" collapsed="false">
      <c r="A30" s="23" t="n">
        <v>27</v>
      </c>
      <c r="B30" s="24" t="s">
        <v>123</v>
      </c>
      <c r="C30" s="25" t="n">
        <v>10</v>
      </c>
      <c r="D30" s="25" t="n">
        <v>0</v>
      </c>
      <c r="E30" s="26" t="n">
        <f aca="false">C30/10</f>
        <v>1</v>
      </c>
      <c r="F30" s="25" t="n">
        <v>7</v>
      </c>
      <c r="G30" s="25" t="n">
        <v>0</v>
      </c>
      <c r="H30" s="25" t="s">
        <v>112</v>
      </c>
      <c r="I30" s="25" t="n">
        <v>10.98</v>
      </c>
      <c r="J30" s="25" t="n">
        <v>0</v>
      </c>
      <c r="K30" s="25"/>
      <c r="L30" s="4"/>
      <c r="M30" s="1"/>
      <c r="N30" s="1"/>
      <c r="O30" s="1"/>
      <c r="P30" s="1"/>
      <c r="Q30" s="1"/>
      <c r="R30" s="1"/>
      <c r="S30" s="1"/>
      <c r="T30" s="1"/>
      <c r="U30" s="1"/>
      <c r="V30" s="1"/>
      <c r="W30" s="1"/>
      <c r="X30" s="1"/>
      <c r="Y30" s="1"/>
    </row>
    <row r="31" customFormat="false" ht="15.75" hidden="false" customHeight="true" outlineLevel="0" collapsed="false">
      <c r="A31" s="28" t="n">
        <v>28</v>
      </c>
      <c r="B31" s="29" t="s">
        <v>124</v>
      </c>
      <c r="C31" s="30" t="n">
        <v>10</v>
      </c>
      <c r="D31" s="30" t="n">
        <v>0</v>
      </c>
      <c r="E31" s="31" t="n">
        <f aca="false">C31/10</f>
        <v>1</v>
      </c>
      <c r="F31" s="30" t="n">
        <v>1</v>
      </c>
      <c r="G31" s="30" t="n">
        <v>1</v>
      </c>
      <c r="H31" s="30" t="s">
        <v>125</v>
      </c>
      <c r="I31" s="30" t="n">
        <v>8.83</v>
      </c>
      <c r="J31" s="30" t="n">
        <v>6</v>
      </c>
      <c r="K31" s="30"/>
      <c r="L31" s="4"/>
      <c r="M31" s="1"/>
      <c r="N31" s="1"/>
      <c r="O31" s="1"/>
      <c r="P31" s="1"/>
      <c r="Q31" s="1"/>
      <c r="R31" s="1"/>
      <c r="S31" s="1"/>
      <c r="T31" s="1"/>
      <c r="U31" s="1"/>
      <c r="V31" s="1"/>
      <c r="W31" s="1"/>
      <c r="X31" s="1"/>
      <c r="Y31" s="1"/>
    </row>
    <row r="32" customFormat="false" ht="15.75" hidden="false" customHeight="true" outlineLevel="0" collapsed="false">
      <c r="A32" s="23" t="n">
        <v>29</v>
      </c>
      <c r="B32" s="24" t="s">
        <v>126</v>
      </c>
      <c r="C32" s="25" t="n">
        <v>10</v>
      </c>
      <c r="D32" s="25" t="n">
        <v>0</v>
      </c>
      <c r="E32" s="26" t="n">
        <f aca="false">C32/10</f>
        <v>1</v>
      </c>
      <c r="F32" s="25" t="n">
        <v>6</v>
      </c>
      <c r="G32" s="25" t="n">
        <v>1</v>
      </c>
      <c r="H32" s="25" t="s">
        <v>127</v>
      </c>
      <c r="I32" s="25" t="n">
        <v>8.43</v>
      </c>
      <c r="J32" s="25" t="n">
        <v>7</v>
      </c>
      <c r="K32" s="25"/>
      <c r="L32" s="4"/>
      <c r="M32" s="1"/>
      <c r="N32" s="1"/>
      <c r="O32" s="1"/>
      <c r="P32" s="1"/>
      <c r="Q32" s="1"/>
      <c r="R32" s="1"/>
      <c r="S32" s="1"/>
      <c r="T32" s="1"/>
      <c r="U32" s="1"/>
      <c r="V32" s="1"/>
      <c r="W32" s="1"/>
      <c r="X32" s="1"/>
      <c r="Y32" s="1"/>
    </row>
    <row r="33" customFormat="false" ht="15.75" hidden="false" customHeight="true" outlineLevel="0" collapsed="false">
      <c r="A33" s="28" t="n">
        <v>30</v>
      </c>
      <c r="B33" s="29" t="s">
        <v>128</v>
      </c>
      <c r="C33" s="30" t="n">
        <v>2</v>
      </c>
      <c r="D33" s="30" t="n">
        <v>8</v>
      </c>
      <c r="E33" s="31" t="n">
        <f aca="false">C33/10</f>
        <v>0.2</v>
      </c>
      <c r="F33" s="30" t="n">
        <v>0</v>
      </c>
      <c r="G33" s="30" t="n">
        <v>2</v>
      </c>
      <c r="H33" s="30" t="s">
        <v>129</v>
      </c>
      <c r="I33" s="30" t="s">
        <v>68</v>
      </c>
      <c r="J33" s="30" t="n">
        <v>0</v>
      </c>
      <c r="K33" s="35" t="s">
        <v>130</v>
      </c>
      <c r="L33" s="4"/>
      <c r="M33" s="1"/>
      <c r="N33" s="1"/>
      <c r="O33" s="1"/>
      <c r="P33" s="1"/>
      <c r="Q33" s="1"/>
      <c r="R33" s="1"/>
      <c r="S33" s="1"/>
      <c r="T33" s="1"/>
      <c r="U33" s="1"/>
      <c r="V33" s="1"/>
      <c r="W33" s="1"/>
      <c r="X33" s="1"/>
      <c r="Y33" s="1"/>
    </row>
    <row r="34" customFormat="false" ht="15.75" hidden="false" customHeight="true" outlineLevel="0" collapsed="false">
      <c r="A34" s="23" t="n">
        <v>31</v>
      </c>
      <c r="B34" s="24" t="s">
        <v>131</v>
      </c>
      <c r="C34" s="25" t="n">
        <v>10</v>
      </c>
      <c r="D34" s="25" t="n">
        <v>0</v>
      </c>
      <c r="E34" s="26" t="n">
        <f aca="false">C34/10</f>
        <v>1</v>
      </c>
      <c r="F34" s="25" t="n">
        <v>1</v>
      </c>
      <c r="G34" s="25" t="n">
        <v>5</v>
      </c>
      <c r="H34" s="25" t="s">
        <v>132</v>
      </c>
      <c r="I34" s="25" t="n">
        <v>8.76</v>
      </c>
      <c r="J34" s="25" t="n">
        <v>1</v>
      </c>
      <c r="K34" s="25"/>
      <c r="L34" s="4"/>
      <c r="M34" s="1"/>
      <c r="N34" s="1"/>
      <c r="O34" s="1"/>
      <c r="P34" s="1"/>
      <c r="Q34" s="1"/>
      <c r="R34" s="1"/>
      <c r="S34" s="1"/>
      <c r="T34" s="1"/>
      <c r="U34" s="1"/>
      <c r="V34" s="1"/>
      <c r="W34" s="1"/>
      <c r="X34" s="1"/>
      <c r="Y34" s="1"/>
    </row>
    <row r="35" customFormat="false" ht="15.75" hidden="false" customHeight="true" outlineLevel="0" collapsed="false">
      <c r="A35" s="28" t="n">
        <v>32</v>
      </c>
      <c r="B35" s="29" t="s">
        <v>133</v>
      </c>
      <c r="C35" s="30" t="n">
        <v>10</v>
      </c>
      <c r="D35" s="30" t="n">
        <v>0</v>
      </c>
      <c r="E35" s="31" t="n">
        <f aca="false">C35/10</f>
        <v>1</v>
      </c>
      <c r="F35" s="30" t="n">
        <v>7</v>
      </c>
      <c r="G35" s="30" t="n">
        <v>1</v>
      </c>
      <c r="H35" s="30" t="s">
        <v>92</v>
      </c>
      <c r="I35" s="30" t="s">
        <v>68</v>
      </c>
      <c r="J35" s="30" t="n">
        <v>0</v>
      </c>
      <c r="K35" s="30"/>
      <c r="L35" s="4"/>
      <c r="M35" s="1"/>
      <c r="N35" s="1"/>
      <c r="O35" s="1"/>
      <c r="P35" s="1"/>
      <c r="Q35" s="1"/>
      <c r="R35" s="1"/>
      <c r="S35" s="1"/>
      <c r="T35" s="1"/>
      <c r="U35" s="1"/>
      <c r="V35" s="1"/>
      <c r="W35" s="1"/>
      <c r="X35" s="1"/>
      <c r="Y35" s="1"/>
    </row>
    <row r="36" customFormat="false" ht="15.75" hidden="false" customHeight="true" outlineLevel="0" collapsed="false">
      <c r="A36" s="23" t="n">
        <v>33</v>
      </c>
      <c r="B36" s="24" t="s">
        <v>134</v>
      </c>
      <c r="C36" s="25" t="n">
        <v>1</v>
      </c>
      <c r="D36" s="25" t="n">
        <v>9</v>
      </c>
      <c r="E36" s="26" t="n">
        <f aca="false">C36/10</f>
        <v>0.1</v>
      </c>
      <c r="F36" s="25" t="n">
        <v>0</v>
      </c>
      <c r="G36" s="25" t="n">
        <v>1</v>
      </c>
      <c r="H36" s="25" t="s">
        <v>135</v>
      </c>
      <c r="I36" s="25" t="s">
        <v>68</v>
      </c>
      <c r="J36" s="25" t="n">
        <v>0</v>
      </c>
      <c r="K36" s="36" t="s">
        <v>136</v>
      </c>
      <c r="L36" s="4"/>
      <c r="M36" s="1"/>
      <c r="N36" s="1"/>
      <c r="O36" s="1"/>
      <c r="P36" s="1"/>
      <c r="Q36" s="1"/>
      <c r="R36" s="1"/>
      <c r="S36" s="1"/>
      <c r="T36" s="1"/>
      <c r="U36" s="1"/>
      <c r="V36" s="1"/>
      <c r="W36" s="1"/>
      <c r="X36" s="1"/>
      <c r="Y36" s="1"/>
    </row>
    <row r="37" customFormat="false" ht="15.75" hidden="false" customHeight="true" outlineLevel="0" collapsed="false">
      <c r="A37" s="28" t="n">
        <v>34</v>
      </c>
      <c r="B37" s="29" t="s">
        <v>137</v>
      </c>
      <c r="C37" s="30" t="n">
        <v>9</v>
      </c>
      <c r="D37" s="30" t="n">
        <v>1</v>
      </c>
      <c r="E37" s="31" t="n">
        <f aca="false">C37/10</f>
        <v>0.9</v>
      </c>
      <c r="F37" s="30" t="n">
        <v>0</v>
      </c>
      <c r="G37" s="30" t="n">
        <v>3</v>
      </c>
      <c r="H37" s="30" t="s">
        <v>138</v>
      </c>
      <c r="I37" s="30" t="n">
        <v>8.65</v>
      </c>
      <c r="J37" s="30" t="n">
        <v>6</v>
      </c>
      <c r="K37" s="34" t="s">
        <v>90</v>
      </c>
      <c r="L37" s="4"/>
      <c r="M37" s="1"/>
      <c r="N37" s="1"/>
      <c r="O37" s="1"/>
      <c r="P37" s="1"/>
      <c r="Q37" s="1"/>
      <c r="R37" s="1"/>
      <c r="S37" s="1"/>
      <c r="T37" s="1"/>
      <c r="U37" s="1"/>
      <c r="V37" s="1"/>
      <c r="W37" s="1"/>
      <c r="X37" s="1"/>
      <c r="Y37" s="1"/>
    </row>
    <row r="38" customFormat="false" ht="15.75" hidden="false" customHeight="true" outlineLevel="0" collapsed="false">
      <c r="A38" s="23" t="n">
        <v>35</v>
      </c>
      <c r="B38" s="24" t="s">
        <v>139</v>
      </c>
      <c r="C38" s="25" t="n">
        <v>10</v>
      </c>
      <c r="D38" s="25" t="n">
        <v>0</v>
      </c>
      <c r="E38" s="26" t="n">
        <f aca="false">C38/10</f>
        <v>1</v>
      </c>
      <c r="F38" s="25" t="n">
        <v>5</v>
      </c>
      <c r="G38" s="25" t="n">
        <v>0</v>
      </c>
      <c r="H38" s="25" t="s">
        <v>140</v>
      </c>
      <c r="I38" s="25" t="n">
        <v>8.95</v>
      </c>
      <c r="J38" s="25" t="n">
        <v>6</v>
      </c>
      <c r="K38" s="33" t="s">
        <v>75</v>
      </c>
      <c r="L38" s="4"/>
      <c r="M38" s="1"/>
      <c r="N38" s="1"/>
      <c r="O38" s="1"/>
      <c r="P38" s="1"/>
      <c r="Q38" s="1"/>
      <c r="R38" s="1"/>
      <c r="S38" s="1"/>
      <c r="T38" s="1"/>
      <c r="U38" s="1"/>
      <c r="V38" s="1"/>
      <c r="W38" s="1"/>
      <c r="X38" s="1"/>
      <c r="Y38" s="1"/>
    </row>
    <row r="39" customFormat="false" ht="15.75" hidden="false" customHeight="true" outlineLevel="0" collapsed="false">
      <c r="A39" s="28" t="n">
        <v>36</v>
      </c>
      <c r="B39" s="29" t="s">
        <v>141</v>
      </c>
      <c r="C39" s="30" t="n">
        <v>4</v>
      </c>
      <c r="D39" s="30" t="n">
        <v>6</v>
      </c>
      <c r="E39" s="31" t="n">
        <f aca="false">C39/10</f>
        <v>0.4</v>
      </c>
      <c r="F39" s="30" t="n">
        <v>0</v>
      </c>
      <c r="G39" s="30" t="n">
        <v>4</v>
      </c>
      <c r="H39" s="30" t="s">
        <v>142</v>
      </c>
      <c r="I39" s="30" t="s">
        <v>68</v>
      </c>
      <c r="J39" s="30" t="n">
        <v>0</v>
      </c>
      <c r="K39" s="32" t="s">
        <v>72</v>
      </c>
      <c r="L39" s="4"/>
      <c r="M39" s="1"/>
      <c r="N39" s="1"/>
      <c r="O39" s="1"/>
      <c r="P39" s="1"/>
      <c r="Q39" s="1"/>
      <c r="R39" s="1"/>
      <c r="S39" s="1"/>
      <c r="T39" s="1"/>
      <c r="U39" s="1"/>
      <c r="V39" s="1"/>
      <c r="W39" s="1"/>
      <c r="X39" s="1"/>
      <c r="Y39" s="1"/>
    </row>
    <row r="40" customFormat="false" ht="15.75" hidden="false" customHeight="true" outlineLevel="0" collapsed="false">
      <c r="A40" s="23" t="n">
        <v>37</v>
      </c>
      <c r="B40" s="24" t="s">
        <v>143</v>
      </c>
      <c r="C40" s="25" t="n">
        <v>10</v>
      </c>
      <c r="D40" s="25" t="n">
        <v>0</v>
      </c>
      <c r="E40" s="26" t="n">
        <f aca="false">C40/10</f>
        <v>1</v>
      </c>
      <c r="F40" s="25" t="n">
        <v>8</v>
      </c>
      <c r="G40" s="25" t="n">
        <v>0</v>
      </c>
      <c r="H40" s="25" t="s">
        <v>108</v>
      </c>
      <c r="I40" s="25" t="n">
        <v>9.08</v>
      </c>
      <c r="J40" s="25" t="n">
        <v>5</v>
      </c>
      <c r="K40" s="25"/>
      <c r="L40" s="4"/>
      <c r="M40" s="1"/>
      <c r="N40" s="1"/>
      <c r="O40" s="1"/>
      <c r="P40" s="1"/>
      <c r="Q40" s="1"/>
      <c r="R40" s="1"/>
      <c r="S40" s="1"/>
      <c r="T40" s="1"/>
      <c r="U40" s="1"/>
      <c r="V40" s="1"/>
      <c r="W40" s="1"/>
      <c r="X40" s="1"/>
      <c r="Y40" s="1"/>
    </row>
    <row r="41" customFormat="false" ht="15.75" hidden="false" customHeight="true" outlineLevel="0" collapsed="false">
      <c r="A41" s="28" t="n">
        <v>38</v>
      </c>
      <c r="B41" s="29" t="s">
        <v>144</v>
      </c>
      <c r="C41" s="30" t="n">
        <v>10</v>
      </c>
      <c r="D41" s="30" t="n">
        <v>0</v>
      </c>
      <c r="E41" s="31" t="n">
        <f aca="false">C41/10</f>
        <v>1</v>
      </c>
      <c r="F41" s="30" t="n">
        <v>1</v>
      </c>
      <c r="G41" s="30" t="n">
        <v>2</v>
      </c>
      <c r="H41" s="30" t="s">
        <v>145</v>
      </c>
      <c r="I41" s="30" t="n">
        <v>8.85</v>
      </c>
      <c r="J41" s="30" t="n">
        <v>2</v>
      </c>
      <c r="K41" s="33" t="s">
        <v>75</v>
      </c>
      <c r="L41" s="4"/>
      <c r="M41" s="1"/>
      <c r="N41" s="1"/>
      <c r="O41" s="1"/>
      <c r="P41" s="1"/>
      <c r="Q41" s="1"/>
      <c r="R41" s="1"/>
      <c r="S41" s="1"/>
      <c r="T41" s="1"/>
      <c r="U41" s="1"/>
      <c r="V41" s="1"/>
      <c r="W41" s="1"/>
      <c r="X41" s="1"/>
      <c r="Y41" s="1"/>
    </row>
    <row r="42" customFormat="false" ht="15.75" hidden="false" customHeight="true" outlineLevel="0" collapsed="false">
      <c r="A42" s="23" t="n">
        <v>39</v>
      </c>
      <c r="B42" s="24" t="s">
        <v>146</v>
      </c>
      <c r="C42" s="25" t="n">
        <v>7</v>
      </c>
      <c r="D42" s="25" t="n">
        <v>3</v>
      </c>
      <c r="E42" s="26" t="n">
        <f aca="false">C42/10</f>
        <v>0.7</v>
      </c>
      <c r="F42" s="25" t="n">
        <v>5</v>
      </c>
      <c r="G42" s="25" t="n">
        <v>0</v>
      </c>
      <c r="H42" s="25" t="s">
        <v>108</v>
      </c>
      <c r="I42" s="25" t="n">
        <v>8.87</v>
      </c>
      <c r="J42" s="25" t="n">
        <v>1</v>
      </c>
      <c r="K42" s="34" t="s">
        <v>90</v>
      </c>
      <c r="L42" s="4"/>
      <c r="M42" s="1"/>
      <c r="N42" s="1"/>
      <c r="O42" s="1"/>
      <c r="P42" s="1"/>
      <c r="Q42" s="1"/>
      <c r="R42" s="1"/>
      <c r="S42" s="1"/>
      <c r="T42" s="1"/>
      <c r="U42" s="1"/>
      <c r="V42" s="1"/>
      <c r="W42" s="1"/>
      <c r="X42" s="1"/>
      <c r="Y42" s="1"/>
    </row>
    <row r="43" customFormat="false" ht="15.75" hidden="false" customHeight="true" outlineLevel="0" collapsed="false">
      <c r="A43" s="28" t="n">
        <v>40</v>
      </c>
      <c r="B43" s="29" t="s">
        <v>147</v>
      </c>
      <c r="C43" s="30" t="n">
        <v>9</v>
      </c>
      <c r="D43" s="30" t="n">
        <v>1</v>
      </c>
      <c r="E43" s="31" t="n">
        <f aca="false">C43/10</f>
        <v>0.9</v>
      </c>
      <c r="F43" s="30" t="n">
        <v>8</v>
      </c>
      <c r="G43" s="30" t="n">
        <v>0</v>
      </c>
      <c r="H43" s="30" t="s">
        <v>92</v>
      </c>
      <c r="I43" s="30" t="n">
        <v>9.23</v>
      </c>
      <c r="J43" s="30" t="n">
        <v>1</v>
      </c>
      <c r="K43" s="30"/>
      <c r="L43" s="4"/>
      <c r="M43" s="1"/>
      <c r="N43" s="1"/>
      <c r="O43" s="1"/>
      <c r="P43" s="1"/>
      <c r="Q43" s="1"/>
      <c r="R43" s="1"/>
      <c r="S43" s="1"/>
      <c r="T43" s="1"/>
      <c r="U43" s="1"/>
      <c r="V43" s="1"/>
      <c r="W43" s="1"/>
      <c r="X43" s="1"/>
      <c r="Y43" s="1"/>
    </row>
    <row r="44" customFormat="false" ht="15.75" hidden="false" customHeight="true" outlineLevel="0" collapsed="false">
      <c r="A44" s="23" t="n">
        <v>41</v>
      </c>
      <c r="B44" s="24" t="s">
        <v>148</v>
      </c>
      <c r="C44" s="25" t="n">
        <v>3</v>
      </c>
      <c r="D44" s="25" t="n">
        <v>7</v>
      </c>
      <c r="E44" s="26" t="n">
        <f aca="false">C44/10</f>
        <v>0.3</v>
      </c>
      <c r="F44" s="25" t="n">
        <v>1</v>
      </c>
      <c r="G44" s="25" t="n">
        <v>2</v>
      </c>
      <c r="H44" s="25" t="s">
        <v>149</v>
      </c>
      <c r="I44" s="25" t="s">
        <v>68</v>
      </c>
      <c r="J44" s="25" t="n">
        <v>0</v>
      </c>
      <c r="K44" s="27" t="s">
        <v>69</v>
      </c>
      <c r="L44" s="4"/>
      <c r="M44" s="1"/>
      <c r="N44" s="1"/>
      <c r="O44" s="1"/>
      <c r="P44" s="1"/>
      <c r="Q44" s="1"/>
      <c r="R44" s="1"/>
      <c r="S44" s="1"/>
      <c r="T44" s="1"/>
      <c r="U44" s="1"/>
      <c r="V44" s="1"/>
      <c r="W44" s="1"/>
      <c r="X44" s="1"/>
      <c r="Y44" s="1"/>
    </row>
    <row r="45" customFormat="false" ht="15.75" hidden="false" customHeight="true" outlineLevel="0" collapsed="false">
      <c r="A45" s="28" t="n">
        <v>42</v>
      </c>
      <c r="B45" s="29" t="s">
        <v>150</v>
      </c>
      <c r="C45" s="30" t="n">
        <v>10</v>
      </c>
      <c r="D45" s="30" t="n">
        <v>0</v>
      </c>
      <c r="E45" s="31" t="n">
        <f aca="false">C45/10</f>
        <v>1</v>
      </c>
      <c r="F45" s="30" t="n">
        <v>0</v>
      </c>
      <c r="G45" s="30" t="n">
        <v>1</v>
      </c>
      <c r="H45" s="30" t="s">
        <v>151</v>
      </c>
      <c r="I45" s="30" t="n">
        <v>8.71</v>
      </c>
      <c r="J45" s="30" t="n">
        <v>9</v>
      </c>
      <c r="K45" s="30"/>
      <c r="L45" s="4"/>
      <c r="M45" s="1"/>
      <c r="N45" s="1"/>
      <c r="O45" s="1"/>
      <c r="P45" s="1"/>
      <c r="Q45" s="1"/>
      <c r="R45" s="1"/>
      <c r="S45" s="1"/>
      <c r="T45" s="1"/>
      <c r="U45" s="1"/>
      <c r="V45" s="1"/>
      <c r="W45" s="1"/>
      <c r="X45" s="1"/>
      <c r="Y45" s="1"/>
    </row>
    <row r="46" customFormat="false" ht="15.75" hidden="false" customHeight="true" outlineLevel="0" collapsed="false">
      <c r="A46" s="23" t="n">
        <v>43</v>
      </c>
      <c r="B46" s="24" t="s">
        <v>152</v>
      </c>
      <c r="C46" s="25" t="n">
        <v>9</v>
      </c>
      <c r="D46" s="25" t="n">
        <v>1</v>
      </c>
      <c r="E46" s="26" t="n">
        <f aca="false">C46/10</f>
        <v>0.9</v>
      </c>
      <c r="F46" s="25" t="n">
        <v>0</v>
      </c>
      <c r="G46" s="25" t="n">
        <v>6</v>
      </c>
      <c r="H46" s="25" t="s">
        <v>153</v>
      </c>
      <c r="I46" s="25" t="n">
        <v>8.63</v>
      </c>
      <c r="J46" s="25" t="n">
        <v>1</v>
      </c>
      <c r="K46" s="33" t="s">
        <v>75</v>
      </c>
      <c r="L46" s="4"/>
      <c r="M46" s="1"/>
      <c r="N46" s="1"/>
      <c r="O46" s="1"/>
      <c r="P46" s="1"/>
      <c r="Q46" s="1"/>
      <c r="R46" s="1"/>
      <c r="S46" s="1"/>
      <c r="T46" s="1"/>
      <c r="U46" s="1"/>
      <c r="V46" s="1"/>
      <c r="W46" s="1"/>
      <c r="X46" s="1"/>
      <c r="Y46" s="1"/>
    </row>
    <row r="47" customFormat="false" ht="15.75" hidden="false" customHeight="true" outlineLevel="0" collapsed="false">
      <c r="A47" s="28" t="n">
        <v>44</v>
      </c>
      <c r="B47" s="29" t="s">
        <v>154</v>
      </c>
      <c r="C47" s="30" t="n">
        <v>10</v>
      </c>
      <c r="D47" s="30" t="n">
        <v>0</v>
      </c>
      <c r="E47" s="31" t="n">
        <f aca="false">C47/10</f>
        <v>1</v>
      </c>
      <c r="F47" s="30" t="n">
        <v>9</v>
      </c>
      <c r="G47" s="30" t="n">
        <v>1</v>
      </c>
      <c r="H47" s="30" t="s">
        <v>153</v>
      </c>
      <c r="I47" s="30" t="n">
        <v>10.12</v>
      </c>
      <c r="J47" s="30" t="n">
        <v>6</v>
      </c>
      <c r="K47" s="30"/>
      <c r="L47" s="4"/>
      <c r="M47" s="1"/>
      <c r="N47" s="1"/>
      <c r="O47" s="1"/>
      <c r="P47" s="1"/>
      <c r="Q47" s="1"/>
      <c r="R47" s="1"/>
      <c r="S47" s="1"/>
      <c r="T47" s="1"/>
      <c r="U47" s="1"/>
      <c r="V47" s="1"/>
      <c r="W47" s="1"/>
      <c r="X47" s="1"/>
      <c r="Y47" s="1"/>
    </row>
    <row r="48" customFormat="false" ht="15.75" hidden="false" customHeight="true" outlineLevel="0" collapsed="false">
      <c r="A48" s="23" t="n">
        <v>45</v>
      </c>
      <c r="B48" s="24" t="s">
        <v>155</v>
      </c>
      <c r="C48" s="25" t="n">
        <v>10</v>
      </c>
      <c r="D48" s="25" t="n">
        <v>0</v>
      </c>
      <c r="E48" s="26" t="n">
        <f aca="false">C48/10</f>
        <v>1</v>
      </c>
      <c r="F48" s="25" t="n">
        <v>5</v>
      </c>
      <c r="G48" s="25" t="n">
        <v>1</v>
      </c>
      <c r="H48" s="25" t="s">
        <v>89</v>
      </c>
      <c r="I48" s="25" t="n">
        <v>9.07</v>
      </c>
      <c r="J48" s="25" t="n">
        <v>5</v>
      </c>
      <c r="K48" s="25"/>
      <c r="L48" s="4"/>
      <c r="M48" s="1"/>
      <c r="N48" s="1"/>
      <c r="O48" s="1"/>
      <c r="P48" s="1"/>
      <c r="Q48" s="1"/>
      <c r="R48" s="1"/>
      <c r="S48" s="1"/>
      <c r="T48" s="1"/>
      <c r="U48" s="1"/>
      <c r="V48" s="1"/>
      <c r="W48" s="1"/>
      <c r="X48" s="1"/>
      <c r="Y48" s="1"/>
    </row>
    <row r="49" customFormat="false" ht="15.75" hidden="false" customHeight="true" outlineLevel="0" collapsed="false">
      <c r="A49" s="28" t="n">
        <v>46</v>
      </c>
      <c r="B49" s="29" t="s">
        <v>156</v>
      </c>
      <c r="C49" s="30" t="n">
        <v>10</v>
      </c>
      <c r="D49" s="30" t="n">
        <v>0</v>
      </c>
      <c r="E49" s="31" t="n">
        <f aca="false">C49/10</f>
        <v>1</v>
      </c>
      <c r="F49" s="30" t="n">
        <v>0</v>
      </c>
      <c r="G49" s="30" t="n">
        <v>8</v>
      </c>
      <c r="H49" s="30" t="s">
        <v>157</v>
      </c>
      <c r="I49" s="30" t="n">
        <v>8.49</v>
      </c>
      <c r="J49" s="30" t="n">
        <v>8</v>
      </c>
      <c r="K49" s="30"/>
      <c r="L49" s="4"/>
      <c r="M49" s="1"/>
      <c r="N49" s="1"/>
      <c r="O49" s="1"/>
      <c r="P49" s="1"/>
      <c r="Q49" s="1"/>
      <c r="R49" s="1"/>
      <c r="S49" s="1"/>
      <c r="T49" s="1"/>
      <c r="U49" s="1"/>
      <c r="V49" s="1"/>
      <c r="W49" s="1"/>
      <c r="X49" s="1"/>
      <c r="Y49" s="1"/>
    </row>
    <row r="50" customFormat="false" ht="15.75" hidden="false" customHeight="true" outlineLevel="0" collapsed="false">
      <c r="A50" s="37"/>
      <c r="B50" s="38" t="s">
        <v>158</v>
      </c>
      <c r="C50" s="39" t="n">
        <v>372</v>
      </c>
      <c r="D50" s="39" t="n">
        <v>88</v>
      </c>
      <c r="E50" s="40"/>
      <c r="F50" s="39" t="n">
        <v>162</v>
      </c>
      <c r="G50" s="39" t="n">
        <v>95</v>
      </c>
      <c r="H50" s="41"/>
      <c r="I50" s="41"/>
      <c r="J50" s="39" t="n">
        <v>133</v>
      </c>
      <c r="K50" s="39" t="n">
        <v>185</v>
      </c>
      <c r="L50" s="4"/>
      <c r="M50" s="1"/>
      <c r="N50" s="1"/>
      <c r="O50" s="1"/>
      <c r="P50" s="1"/>
      <c r="Q50" s="1"/>
      <c r="R50" s="1"/>
      <c r="S50" s="1"/>
      <c r="T50" s="1"/>
      <c r="U50" s="1"/>
      <c r="V50" s="1"/>
      <c r="W50" s="1"/>
      <c r="X50" s="1"/>
      <c r="Y50" s="1"/>
    </row>
    <row r="51" customFormat="false" ht="15.75" hidden="false" customHeight="true" outlineLevel="0" collapsed="false">
      <c r="A51" s="37"/>
      <c r="B51" s="10"/>
      <c r="C51" s="41"/>
      <c r="D51" s="41"/>
      <c r="E51" s="40"/>
      <c r="F51" s="41"/>
      <c r="G51" s="41"/>
      <c r="H51" s="41"/>
      <c r="I51" s="41"/>
      <c r="J51" s="41"/>
      <c r="K51" s="41"/>
      <c r="L51" s="4"/>
      <c r="M51" s="1"/>
      <c r="N51" s="1"/>
      <c r="O51" s="1"/>
      <c r="P51" s="1"/>
      <c r="Q51" s="1"/>
      <c r="R51" s="1"/>
      <c r="S51" s="1"/>
      <c r="T51" s="1"/>
      <c r="U51" s="1"/>
      <c r="V51" s="1"/>
      <c r="W51" s="1"/>
      <c r="X51" s="1"/>
      <c r="Y51" s="1"/>
    </row>
    <row r="52" customFormat="false" ht="15.75" hidden="false" customHeight="true" outlineLevel="0" collapsed="false">
      <c r="A52" s="37"/>
      <c r="B52" s="10"/>
      <c r="C52" s="41"/>
      <c r="D52" s="41"/>
      <c r="E52" s="40"/>
      <c r="F52" s="41"/>
      <c r="G52" s="41"/>
      <c r="H52" s="41"/>
      <c r="I52" s="41"/>
      <c r="J52" s="41"/>
      <c r="K52" s="41"/>
      <c r="L52" s="4"/>
      <c r="M52" s="1"/>
      <c r="N52" s="1"/>
      <c r="O52" s="1"/>
      <c r="P52" s="1"/>
      <c r="Q52" s="1"/>
      <c r="R52" s="1"/>
      <c r="S52" s="1"/>
      <c r="T52" s="1"/>
      <c r="U52" s="1"/>
      <c r="V52" s="1"/>
      <c r="W52" s="1"/>
      <c r="X52" s="1"/>
      <c r="Y52" s="1"/>
    </row>
    <row r="53" customFormat="false" ht="15.75" hidden="false" customHeight="true" outlineLevel="0" collapsed="false">
      <c r="A53" s="42"/>
      <c r="B53" s="43"/>
      <c r="C53" s="44"/>
      <c r="D53" s="44"/>
      <c r="E53" s="4"/>
      <c r="F53" s="44"/>
      <c r="G53" s="44"/>
      <c r="H53" s="4"/>
      <c r="I53" s="4"/>
      <c r="J53" s="44"/>
      <c r="K53" s="44"/>
      <c r="L53" s="4"/>
      <c r="M53" s="1"/>
      <c r="N53" s="1"/>
      <c r="O53" s="1"/>
      <c r="P53" s="1"/>
      <c r="Q53" s="1"/>
      <c r="R53" s="1"/>
      <c r="S53" s="1"/>
      <c r="T53" s="1"/>
      <c r="U53" s="1"/>
      <c r="V53" s="1"/>
      <c r="W53" s="1"/>
      <c r="X53" s="1"/>
      <c r="Y53" s="1"/>
    </row>
    <row r="54" customFormat="false" ht="15.75" hidden="false" customHeight="true" outlineLevel="0" collapsed="false">
      <c r="A54" s="4"/>
      <c r="B54" s="4"/>
      <c r="C54" s="4"/>
      <c r="D54" s="4"/>
      <c r="E54" s="4"/>
      <c r="F54" s="4"/>
      <c r="G54" s="4"/>
      <c r="H54" s="4"/>
      <c r="I54" s="4"/>
      <c r="J54" s="4"/>
      <c r="K54" s="4"/>
      <c r="L54" s="4"/>
      <c r="M54" s="1"/>
      <c r="N54" s="1"/>
      <c r="O54" s="1"/>
      <c r="P54" s="1"/>
      <c r="Q54" s="1"/>
      <c r="R54" s="1"/>
      <c r="S54" s="1"/>
      <c r="T54" s="1"/>
      <c r="U54" s="1"/>
      <c r="V54" s="1"/>
      <c r="W54" s="1"/>
      <c r="X54" s="1"/>
      <c r="Y54" s="1"/>
    </row>
    <row r="55" customFormat="false" ht="15.75" hidden="false" customHeight="true" outlineLevel="0" collapsed="false">
      <c r="A55" s="45" t="s">
        <v>159</v>
      </c>
      <c r="B55" s="45"/>
      <c r="C55" s="45"/>
      <c r="D55" s="45"/>
      <c r="E55" s="45"/>
      <c r="F55" s="45"/>
      <c r="G55" s="45"/>
      <c r="H55" s="45"/>
      <c r="I55" s="45"/>
      <c r="J55" s="45"/>
      <c r="K55" s="45"/>
      <c r="L55" s="45"/>
      <c r="M55" s="1"/>
      <c r="N55" s="1"/>
      <c r="O55" s="1"/>
      <c r="P55" s="1"/>
      <c r="Q55" s="1"/>
      <c r="R55" s="1"/>
      <c r="S55" s="1"/>
      <c r="T55" s="1"/>
      <c r="U55" s="1"/>
      <c r="V55" s="1"/>
      <c r="W55" s="1"/>
      <c r="X55" s="1"/>
      <c r="Y55" s="1"/>
    </row>
    <row r="56" customFormat="false" ht="15.75" hidden="false" customHeight="true" outlineLevel="0" collapsed="false">
      <c r="A56" s="46" t="s">
        <v>160</v>
      </c>
      <c r="B56" s="46"/>
      <c r="C56" s="46"/>
      <c r="D56" s="46"/>
      <c r="E56" s="46"/>
      <c r="F56" s="46"/>
      <c r="G56" s="46"/>
      <c r="H56" s="46"/>
      <c r="I56" s="46"/>
      <c r="J56" s="46"/>
      <c r="K56" s="46"/>
      <c r="L56" s="46"/>
      <c r="M56" s="1"/>
      <c r="N56" s="1"/>
      <c r="O56" s="1"/>
      <c r="P56" s="1"/>
      <c r="Q56" s="1"/>
      <c r="R56" s="1"/>
      <c r="S56" s="1"/>
      <c r="T56" s="1"/>
      <c r="U56" s="1"/>
      <c r="V56" s="1"/>
      <c r="W56" s="1"/>
      <c r="X56" s="1"/>
      <c r="Y56" s="1"/>
    </row>
    <row r="57" customFormat="false" ht="15.75" hidden="false" customHeight="true" outlineLevel="0" collapsed="false">
      <c r="A57" s="46" t="s">
        <v>161</v>
      </c>
      <c r="B57" s="46"/>
      <c r="C57" s="46"/>
      <c r="D57" s="46"/>
      <c r="E57" s="46"/>
      <c r="F57" s="46"/>
      <c r="G57" s="46"/>
      <c r="H57" s="46"/>
      <c r="I57" s="46"/>
      <c r="J57" s="46"/>
      <c r="K57" s="46"/>
      <c r="L57" s="46"/>
      <c r="M57" s="1"/>
      <c r="N57" s="1"/>
      <c r="O57" s="1"/>
      <c r="P57" s="1"/>
      <c r="Q57" s="1"/>
      <c r="R57" s="1"/>
      <c r="S57" s="1"/>
      <c r="T57" s="1"/>
      <c r="U57" s="1"/>
      <c r="V57" s="1"/>
      <c r="W57" s="1"/>
      <c r="X57" s="1"/>
      <c r="Y57" s="1"/>
    </row>
    <row r="58" customFormat="false" ht="15.75" hidden="false" customHeight="true" outlineLevel="0" collapsed="false">
      <c r="A58" s="46" t="s">
        <v>162</v>
      </c>
      <c r="B58" s="46"/>
      <c r="C58" s="46"/>
      <c r="D58" s="46"/>
      <c r="E58" s="46"/>
      <c r="F58" s="46"/>
      <c r="G58" s="46"/>
      <c r="H58" s="46"/>
      <c r="I58" s="46"/>
      <c r="J58" s="46"/>
      <c r="K58" s="46"/>
      <c r="L58" s="46"/>
      <c r="M58" s="1"/>
      <c r="N58" s="1"/>
      <c r="O58" s="1"/>
      <c r="P58" s="1"/>
      <c r="Q58" s="1"/>
      <c r="R58" s="1"/>
      <c r="S58" s="1"/>
      <c r="T58" s="1"/>
      <c r="U58" s="1"/>
      <c r="V58" s="1"/>
      <c r="W58" s="1"/>
      <c r="X58" s="1"/>
      <c r="Y58" s="1"/>
    </row>
    <row r="59" customFormat="false" ht="15.75" hidden="false" customHeight="true" outlineLevel="0" collapsed="false">
      <c r="A59" s="46" t="s">
        <v>163</v>
      </c>
      <c r="B59" s="46"/>
      <c r="C59" s="46"/>
      <c r="D59" s="46"/>
      <c r="E59" s="46"/>
      <c r="F59" s="46"/>
      <c r="G59" s="46"/>
      <c r="H59" s="46"/>
      <c r="I59" s="46"/>
      <c r="J59" s="46"/>
      <c r="K59" s="46"/>
      <c r="L59" s="46"/>
      <c r="M59" s="1"/>
      <c r="N59" s="1"/>
      <c r="O59" s="1"/>
      <c r="P59" s="1"/>
      <c r="Q59" s="1"/>
      <c r="R59" s="1"/>
      <c r="S59" s="1"/>
      <c r="T59" s="1"/>
      <c r="U59" s="1"/>
      <c r="V59" s="1"/>
      <c r="W59" s="1"/>
      <c r="X59" s="1"/>
      <c r="Y59" s="1"/>
    </row>
    <row r="60" customFormat="false" ht="15.75" hidden="false" customHeight="true" outlineLevel="0" collapsed="false">
      <c r="A60" s="46" t="s">
        <v>164</v>
      </c>
      <c r="B60" s="46"/>
      <c r="C60" s="46"/>
      <c r="D60" s="46"/>
      <c r="E60" s="46"/>
      <c r="F60" s="46"/>
      <c r="G60" s="46"/>
      <c r="H60" s="46"/>
      <c r="I60" s="46"/>
      <c r="J60" s="46"/>
      <c r="K60" s="46"/>
      <c r="L60" s="46"/>
      <c r="M60" s="1"/>
      <c r="N60" s="1"/>
      <c r="O60" s="1"/>
      <c r="P60" s="1"/>
      <c r="Q60" s="1"/>
      <c r="R60" s="1"/>
      <c r="S60" s="1"/>
      <c r="T60" s="1"/>
      <c r="U60" s="1"/>
      <c r="V60" s="1"/>
      <c r="W60" s="1"/>
      <c r="X60" s="1"/>
      <c r="Y60" s="1"/>
    </row>
    <row r="61" customFormat="false" ht="15.75" hidden="false" customHeight="true" outlineLevel="0" collapsed="false">
      <c r="A61" s="46" t="s">
        <v>165</v>
      </c>
      <c r="B61" s="46"/>
      <c r="C61" s="46"/>
      <c r="D61" s="46"/>
      <c r="E61" s="46"/>
      <c r="F61" s="46"/>
      <c r="G61" s="46"/>
      <c r="H61" s="46"/>
      <c r="I61" s="46"/>
      <c r="J61" s="46"/>
      <c r="K61" s="46"/>
      <c r="L61" s="46"/>
      <c r="M61" s="1"/>
      <c r="N61" s="1"/>
      <c r="O61" s="1"/>
      <c r="P61" s="1"/>
      <c r="Q61" s="1"/>
      <c r="R61" s="1"/>
      <c r="S61" s="1"/>
      <c r="T61" s="1"/>
      <c r="U61" s="1"/>
      <c r="V61" s="1"/>
      <c r="W61" s="1"/>
      <c r="X61" s="1"/>
      <c r="Y61" s="1"/>
    </row>
    <row r="62" customFormat="false" ht="15.75" hidden="false" customHeight="true" outlineLevel="0" collapsed="false">
      <c r="A62" s="46" t="s">
        <v>166</v>
      </c>
      <c r="B62" s="46"/>
      <c r="C62" s="46"/>
      <c r="D62" s="46"/>
      <c r="E62" s="46"/>
      <c r="F62" s="46"/>
      <c r="G62" s="46"/>
      <c r="H62" s="46"/>
      <c r="I62" s="46"/>
      <c r="J62" s="46"/>
      <c r="K62" s="46"/>
      <c r="L62" s="46"/>
      <c r="M62" s="1"/>
      <c r="N62" s="1"/>
      <c r="O62" s="1"/>
      <c r="P62" s="1"/>
      <c r="Q62" s="1"/>
      <c r="R62" s="1"/>
      <c r="S62" s="1"/>
      <c r="T62" s="1"/>
      <c r="U62" s="1"/>
      <c r="V62" s="1"/>
      <c r="W62" s="1"/>
      <c r="X62" s="1"/>
      <c r="Y62" s="1"/>
    </row>
    <row r="63" customFormat="false" ht="15.75" hidden="false" customHeight="true" outlineLevel="0" collapsed="false">
      <c r="A63" s="46" t="s">
        <v>167</v>
      </c>
      <c r="B63" s="46"/>
      <c r="C63" s="46"/>
      <c r="D63" s="46"/>
      <c r="E63" s="46"/>
      <c r="F63" s="46"/>
      <c r="G63" s="46"/>
      <c r="H63" s="46"/>
      <c r="I63" s="46"/>
      <c r="J63" s="46"/>
      <c r="K63" s="46"/>
      <c r="L63" s="46"/>
      <c r="M63" s="1"/>
      <c r="N63" s="1"/>
      <c r="O63" s="1"/>
      <c r="P63" s="1"/>
      <c r="Q63" s="1"/>
      <c r="R63" s="1"/>
      <c r="S63" s="1"/>
      <c r="T63" s="1"/>
      <c r="U63" s="1"/>
      <c r="V63" s="1"/>
      <c r="W63" s="1"/>
      <c r="X63" s="1"/>
      <c r="Y63" s="1"/>
    </row>
    <row r="64" customFormat="false" ht="15.75" hidden="false" customHeight="true" outlineLevel="0" collapsed="false">
      <c r="A64" s="46" t="s">
        <v>168</v>
      </c>
      <c r="B64" s="46"/>
      <c r="C64" s="46"/>
      <c r="D64" s="46"/>
      <c r="E64" s="46"/>
      <c r="F64" s="46"/>
      <c r="G64" s="46"/>
      <c r="H64" s="46"/>
      <c r="I64" s="46"/>
      <c r="J64" s="46"/>
      <c r="K64" s="46"/>
      <c r="L64" s="46"/>
      <c r="M64" s="1"/>
      <c r="N64" s="1"/>
      <c r="O64" s="1"/>
      <c r="P64" s="1"/>
      <c r="Q64" s="1"/>
      <c r="R64" s="1"/>
      <c r="S64" s="1"/>
      <c r="T64" s="1"/>
      <c r="U64" s="1"/>
      <c r="V64" s="1"/>
      <c r="W64" s="1"/>
      <c r="X64" s="1"/>
      <c r="Y64" s="1"/>
    </row>
    <row r="65" customFormat="false" ht="15.75" hidden="false" customHeight="true" outlineLevel="0" collapsed="false">
      <c r="A65" s="46" t="s">
        <v>169</v>
      </c>
      <c r="B65" s="46"/>
      <c r="C65" s="46"/>
      <c r="D65" s="46"/>
      <c r="E65" s="46"/>
      <c r="F65" s="46"/>
      <c r="G65" s="46"/>
      <c r="H65" s="46"/>
      <c r="I65" s="46"/>
      <c r="J65" s="46"/>
      <c r="K65" s="46"/>
      <c r="L65" s="46"/>
      <c r="M65" s="1"/>
      <c r="N65" s="1"/>
      <c r="O65" s="1"/>
      <c r="P65" s="1"/>
      <c r="Q65" s="1"/>
      <c r="R65" s="1"/>
      <c r="S65" s="1"/>
      <c r="T65" s="1"/>
      <c r="U65" s="1"/>
      <c r="V65" s="1"/>
      <c r="W65" s="1"/>
      <c r="X65" s="1"/>
      <c r="Y65" s="1"/>
    </row>
    <row r="66" customFormat="false" ht="15.75" hidden="false" customHeight="true" outlineLevel="0" collapsed="false">
      <c r="M66" s="1"/>
      <c r="N66" s="1"/>
      <c r="O66" s="1"/>
      <c r="P66" s="1"/>
      <c r="Q66" s="1"/>
      <c r="R66" s="1"/>
      <c r="S66" s="1"/>
      <c r="T66" s="1"/>
      <c r="U66" s="1"/>
      <c r="V66" s="1"/>
      <c r="W66" s="1"/>
      <c r="X66" s="1"/>
      <c r="Y66" s="1"/>
    </row>
    <row r="67" customFormat="false" ht="15.75" hidden="false" customHeight="true" outlineLevel="0" collapsed="false">
      <c r="M67" s="1"/>
      <c r="N67" s="1"/>
      <c r="O67" s="1"/>
      <c r="P67" s="1"/>
      <c r="Q67" s="1"/>
      <c r="R67" s="1"/>
      <c r="S67" s="1"/>
      <c r="T67" s="1"/>
      <c r="U67" s="1"/>
      <c r="V67" s="1"/>
      <c r="W67" s="1"/>
      <c r="X67" s="1"/>
      <c r="Y67" s="1"/>
    </row>
    <row r="68" customFormat="false" ht="15.75" hidden="false" customHeight="true" outlineLevel="0" collapsed="false">
      <c r="M68" s="1"/>
      <c r="N68" s="1"/>
      <c r="O68" s="1"/>
      <c r="P68" s="1"/>
      <c r="Q68" s="1"/>
      <c r="R68" s="1"/>
      <c r="S68" s="1"/>
      <c r="T68" s="1"/>
      <c r="U68" s="1"/>
      <c r="V68" s="1"/>
      <c r="W68" s="1"/>
      <c r="X68" s="1"/>
      <c r="Y68" s="1"/>
    </row>
    <row r="69" customFormat="false" ht="15.75" hidden="false" customHeight="true" outlineLevel="0" collapsed="false">
      <c r="M69" s="1"/>
      <c r="N69" s="1"/>
      <c r="O69" s="1"/>
      <c r="P69" s="1"/>
      <c r="Q69" s="1"/>
      <c r="R69" s="1"/>
      <c r="S69" s="1"/>
      <c r="T69" s="1"/>
      <c r="U69" s="1"/>
      <c r="V69" s="1"/>
      <c r="W69" s="1"/>
      <c r="X69" s="1"/>
      <c r="Y69" s="1"/>
    </row>
    <row r="70" customFormat="false" ht="15.75" hidden="false" customHeight="true" outlineLevel="0" collapsed="false">
      <c r="M70" s="1"/>
      <c r="N70" s="1"/>
      <c r="O70" s="1"/>
      <c r="P70" s="1"/>
      <c r="Q70" s="1"/>
      <c r="R70" s="1"/>
      <c r="S70" s="1"/>
      <c r="T70" s="1"/>
      <c r="U70" s="1"/>
      <c r="V70" s="1"/>
      <c r="W70" s="1"/>
      <c r="X70" s="1"/>
      <c r="Y70" s="1"/>
    </row>
    <row r="71" customFormat="false" ht="15.75" hidden="false" customHeight="true" outlineLevel="0" collapsed="false">
      <c r="M71" s="1"/>
      <c r="N71" s="1"/>
      <c r="O71" s="1"/>
      <c r="P71" s="1"/>
      <c r="Q71" s="1"/>
      <c r="R71" s="1"/>
      <c r="S71" s="1"/>
      <c r="T71" s="1"/>
      <c r="U71" s="1"/>
      <c r="V71" s="1"/>
      <c r="W71" s="1"/>
      <c r="X71" s="1"/>
      <c r="Y71" s="1"/>
    </row>
    <row r="72" customFormat="false" ht="15.75" hidden="false" customHeight="true" outlineLevel="0" collapsed="false">
      <c r="M72" s="1"/>
      <c r="N72" s="1"/>
      <c r="O72" s="1"/>
      <c r="P72" s="1"/>
      <c r="Q72" s="1"/>
      <c r="R72" s="1"/>
      <c r="S72" s="1"/>
      <c r="T72" s="1"/>
      <c r="U72" s="1"/>
      <c r="V72" s="1"/>
      <c r="W72" s="1"/>
      <c r="X72" s="1"/>
      <c r="Y72" s="1"/>
    </row>
    <row r="73" customFormat="false" ht="15.75" hidden="false" customHeight="true" outlineLevel="0" collapsed="false">
      <c r="M73" s="1"/>
      <c r="N73" s="1"/>
      <c r="O73" s="1"/>
      <c r="P73" s="1"/>
      <c r="Q73" s="1"/>
      <c r="R73" s="1"/>
      <c r="S73" s="1"/>
      <c r="T73" s="1"/>
      <c r="U73" s="1"/>
      <c r="V73" s="1"/>
      <c r="W73" s="1"/>
      <c r="X73" s="1"/>
      <c r="Y73" s="1"/>
    </row>
    <row r="74" customFormat="false" ht="15.75" hidden="false" customHeight="true" outlineLevel="0" collapsed="false">
      <c r="M74" s="1"/>
      <c r="N74" s="1"/>
      <c r="O74" s="1"/>
      <c r="P74" s="1"/>
      <c r="Q74" s="1"/>
      <c r="R74" s="1"/>
      <c r="S74" s="1"/>
      <c r="T74" s="1"/>
      <c r="U74" s="1"/>
      <c r="V74" s="1"/>
      <c r="W74" s="1"/>
      <c r="X74" s="1"/>
      <c r="Y74" s="1"/>
    </row>
    <row r="75" customFormat="false" ht="15.75" hidden="false" customHeight="true" outlineLevel="0" collapsed="false">
      <c r="M75" s="1"/>
      <c r="N75" s="1"/>
      <c r="O75" s="1"/>
      <c r="P75" s="1"/>
      <c r="Q75" s="1"/>
      <c r="R75" s="1"/>
      <c r="S75" s="1"/>
      <c r="T75" s="1"/>
      <c r="U75" s="1"/>
      <c r="V75" s="1"/>
      <c r="W75" s="1"/>
      <c r="X75" s="1"/>
      <c r="Y75" s="1"/>
    </row>
    <row r="76" customFormat="false" ht="15.75" hidden="false" customHeight="true" outlineLevel="0" collapsed="false">
      <c r="M76" s="1"/>
      <c r="N76" s="1"/>
      <c r="O76" s="1"/>
      <c r="P76" s="1"/>
      <c r="Q76" s="1"/>
      <c r="R76" s="1"/>
      <c r="S76" s="1"/>
      <c r="T76" s="1"/>
      <c r="U76" s="1"/>
      <c r="V76" s="1"/>
      <c r="W76" s="1"/>
      <c r="X76" s="1"/>
      <c r="Y76" s="1"/>
    </row>
    <row r="77" customFormat="false" ht="15.75" hidden="false" customHeight="true" outlineLevel="0" collapsed="false">
      <c r="M77" s="1"/>
      <c r="N77" s="1"/>
      <c r="O77" s="1"/>
      <c r="P77" s="1"/>
      <c r="Q77" s="1"/>
      <c r="R77" s="1"/>
      <c r="S77" s="1"/>
      <c r="T77" s="1"/>
      <c r="U77" s="1"/>
      <c r="V77" s="1"/>
      <c r="W77" s="1"/>
      <c r="X77" s="1"/>
      <c r="Y77" s="1"/>
    </row>
    <row r="78" customFormat="false" ht="15.75" hidden="false" customHeight="true" outlineLevel="0" collapsed="false">
      <c r="M78" s="1"/>
      <c r="N78" s="1"/>
      <c r="O78" s="1"/>
      <c r="P78" s="1"/>
      <c r="Q78" s="1"/>
      <c r="R78" s="1"/>
      <c r="S78" s="1"/>
      <c r="T78" s="1"/>
      <c r="U78" s="1"/>
      <c r="V78" s="1"/>
      <c r="W78" s="1"/>
      <c r="X78" s="1"/>
      <c r="Y78" s="1"/>
    </row>
    <row r="79" customFormat="false" ht="15.75" hidden="false" customHeight="true" outlineLevel="0" collapsed="false">
      <c r="M79" s="1"/>
      <c r="N79" s="1"/>
      <c r="O79" s="1"/>
      <c r="P79" s="1"/>
      <c r="Q79" s="1"/>
      <c r="R79" s="1"/>
      <c r="S79" s="1"/>
      <c r="T79" s="1"/>
      <c r="U79" s="1"/>
      <c r="V79" s="1"/>
      <c r="W79" s="1"/>
      <c r="X79" s="1"/>
      <c r="Y79" s="1"/>
    </row>
    <row r="80" customFormat="false" ht="15.75" hidden="false" customHeight="true" outlineLevel="0" collapsed="false">
      <c r="M80" s="1"/>
      <c r="N80" s="1"/>
      <c r="O80" s="1"/>
      <c r="P80" s="1"/>
      <c r="Q80" s="1"/>
      <c r="R80" s="1"/>
      <c r="S80" s="1"/>
      <c r="T80" s="1"/>
      <c r="U80" s="1"/>
      <c r="V80" s="1"/>
      <c r="W80" s="1"/>
      <c r="X80" s="1"/>
      <c r="Y80" s="1"/>
    </row>
    <row r="81" customFormat="false" ht="15.75" hidden="false" customHeight="true" outlineLevel="0" collapsed="false">
      <c r="M81" s="1"/>
      <c r="N81" s="1"/>
      <c r="O81" s="1"/>
      <c r="P81" s="1"/>
      <c r="Q81" s="1"/>
      <c r="R81" s="1"/>
      <c r="S81" s="1"/>
      <c r="T81" s="1"/>
      <c r="U81" s="1"/>
      <c r="V81" s="1"/>
      <c r="W81" s="1"/>
      <c r="X81" s="1"/>
      <c r="Y81" s="1"/>
    </row>
    <row r="82" customFormat="false" ht="15.75" hidden="false" customHeight="true" outlineLevel="0" collapsed="false">
      <c r="M82" s="1"/>
      <c r="N82" s="1"/>
      <c r="O82" s="1"/>
      <c r="P82" s="1"/>
      <c r="Q82" s="1"/>
      <c r="R82" s="1"/>
      <c r="S82" s="1"/>
      <c r="T82" s="1"/>
      <c r="U82" s="1"/>
      <c r="V82" s="1"/>
      <c r="W82" s="1"/>
      <c r="X82" s="1"/>
      <c r="Y82" s="1"/>
    </row>
    <row r="83" customFormat="false" ht="15.75" hidden="false" customHeight="true" outlineLevel="0" collapsed="false">
      <c r="M83" s="1"/>
      <c r="N83" s="1"/>
      <c r="O83" s="1"/>
      <c r="P83" s="1"/>
      <c r="Q83" s="1"/>
      <c r="R83" s="1"/>
      <c r="S83" s="1"/>
      <c r="T83" s="1"/>
      <c r="U83" s="1"/>
      <c r="V83" s="1"/>
      <c r="W83" s="1"/>
      <c r="X83" s="1"/>
      <c r="Y83" s="1"/>
    </row>
    <row r="84" customFormat="false" ht="15.75" hidden="false" customHeight="true" outlineLevel="0" collapsed="false">
      <c r="M84" s="1"/>
      <c r="N84" s="1"/>
      <c r="O84" s="1"/>
      <c r="P84" s="1"/>
      <c r="Q84" s="1"/>
      <c r="R84" s="1"/>
      <c r="S84" s="1"/>
      <c r="T84" s="1"/>
      <c r="U84" s="1"/>
      <c r="V84" s="1"/>
      <c r="W84" s="1"/>
      <c r="X84" s="1"/>
      <c r="Y84" s="1"/>
    </row>
    <row r="85" customFormat="false" ht="15.75" hidden="false" customHeight="true" outlineLevel="0" collapsed="false">
      <c r="M85" s="1"/>
      <c r="N85" s="1"/>
      <c r="O85" s="1"/>
      <c r="P85" s="1"/>
      <c r="Q85" s="1"/>
      <c r="R85" s="1"/>
      <c r="S85" s="1"/>
      <c r="T85" s="1"/>
      <c r="U85" s="1"/>
      <c r="V85" s="1"/>
      <c r="W85" s="1"/>
      <c r="X85" s="1"/>
      <c r="Y85" s="1"/>
    </row>
    <row r="86" customFormat="false" ht="15.75" hidden="false" customHeight="true" outlineLevel="0" collapsed="false">
      <c r="M86" s="1"/>
      <c r="N86" s="1"/>
      <c r="O86" s="1"/>
      <c r="P86" s="1"/>
      <c r="Q86" s="1"/>
      <c r="R86" s="1"/>
      <c r="S86" s="1"/>
      <c r="T86" s="1"/>
      <c r="U86" s="1"/>
      <c r="V86" s="1"/>
      <c r="W86" s="1"/>
      <c r="X86" s="1"/>
      <c r="Y86" s="1"/>
    </row>
    <row r="87" customFormat="false" ht="15.75" hidden="false" customHeight="true" outlineLevel="0" collapsed="false">
      <c r="M87" s="1"/>
      <c r="N87" s="1"/>
      <c r="O87" s="1"/>
      <c r="P87" s="1"/>
      <c r="Q87" s="1"/>
      <c r="R87" s="1"/>
      <c r="S87" s="1"/>
      <c r="T87" s="1"/>
      <c r="U87" s="1"/>
      <c r="V87" s="1"/>
      <c r="W87" s="1"/>
      <c r="X87" s="1"/>
      <c r="Y87" s="1"/>
    </row>
    <row r="88" customFormat="false" ht="15.75" hidden="false" customHeight="true" outlineLevel="0" collapsed="false">
      <c r="M88" s="1"/>
      <c r="N88" s="1"/>
      <c r="O88" s="1"/>
      <c r="P88" s="1"/>
      <c r="Q88" s="1"/>
      <c r="R88" s="1"/>
      <c r="S88" s="1"/>
      <c r="T88" s="1"/>
      <c r="U88" s="1"/>
      <c r="V88" s="1"/>
      <c r="W88" s="1"/>
      <c r="X88" s="1"/>
      <c r="Y88" s="1"/>
    </row>
    <row r="89" customFormat="false" ht="15.75" hidden="false" customHeight="true" outlineLevel="0" collapsed="false">
      <c r="M89" s="1"/>
      <c r="N89" s="1"/>
      <c r="O89" s="1"/>
      <c r="P89" s="1"/>
      <c r="Q89" s="1"/>
      <c r="R89" s="1"/>
      <c r="S89" s="1"/>
      <c r="T89" s="1"/>
      <c r="U89" s="1"/>
      <c r="V89" s="1"/>
      <c r="W89" s="1"/>
      <c r="X89" s="1"/>
      <c r="Y89" s="1"/>
    </row>
    <row r="90" customFormat="false" ht="15.75" hidden="false" customHeight="true" outlineLevel="0" collapsed="false">
      <c r="M90" s="1"/>
      <c r="N90" s="1"/>
      <c r="O90" s="1"/>
      <c r="P90" s="1"/>
      <c r="Q90" s="1"/>
      <c r="R90" s="1"/>
      <c r="S90" s="1"/>
      <c r="T90" s="1"/>
      <c r="U90" s="1"/>
      <c r="V90" s="1"/>
      <c r="W90" s="1"/>
      <c r="X90" s="1"/>
      <c r="Y90" s="1"/>
    </row>
    <row r="91" customFormat="false" ht="15.75" hidden="false" customHeight="true" outlineLevel="0" collapsed="false">
      <c r="M91" s="1"/>
      <c r="N91" s="1"/>
      <c r="O91" s="1"/>
      <c r="P91" s="1"/>
      <c r="Q91" s="1"/>
      <c r="R91" s="1"/>
      <c r="S91" s="1"/>
      <c r="T91" s="1"/>
      <c r="U91" s="1"/>
      <c r="V91" s="1"/>
      <c r="W91" s="1"/>
      <c r="X91" s="1"/>
      <c r="Y91" s="1"/>
    </row>
    <row r="92" customFormat="false" ht="15.75" hidden="false" customHeight="true" outlineLevel="0" collapsed="false">
      <c r="M92" s="1"/>
      <c r="N92" s="1"/>
      <c r="O92" s="1"/>
      <c r="P92" s="1"/>
      <c r="Q92" s="1"/>
      <c r="R92" s="1"/>
      <c r="S92" s="1"/>
      <c r="T92" s="1"/>
      <c r="U92" s="1"/>
      <c r="V92" s="1"/>
      <c r="W92" s="1"/>
      <c r="X92" s="1"/>
      <c r="Y92" s="1"/>
    </row>
    <row r="93" customFormat="false" ht="15.75" hidden="false" customHeight="true" outlineLevel="0" collapsed="false">
      <c r="M93" s="1"/>
      <c r="N93" s="1"/>
      <c r="O93" s="1"/>
      <c r="P93" s="1"/>
      <c r="Q93" s="1"/>
      <c r="R93" s="1"/>
      <c r="S93" s="1"/>
      <c r="T93" s="1"/>
      <c r="U93" s="1"/>
      <c r="V93" s="1"/>
      <c r="W93" s="1"/>
      <c r="X93" s="1"/>
      <c r="Y93" s="1"/>
    </row>
    <row r="94" customFormat="false" ht="15.75" hidden="false" customHeight="true" outlineLevel="0" collapsed="false">
      <c r="M94" s="1"/>
      <c r="N94" s="1"/>
      <c r="O94" s="1"/>
      <c r="P94" s="1"/>
      <c r="Q94" s="1"/>
      <c r="R94" s="1"/>
      <c r="S94" s="1"/>
      <c r="T94" s="1"/>
      <c r="U94" s="1"/>
      <c r="V94" s="1"/>
      <c r="W94" s="1"/>
      <c r="X94" s="1"/>
      <c r="Y94" s="1"/>
    </row>
    <row r="95" customFormat="false" ht="15.75" hidden="false" customHeight="true" outlineLevel="0" collapsed="false">
      <c r="M95" s="1"/>
      <c r="N95" s="1"/>
      <c r="O95" s="1"/>
      <c r="P95" s="1"/>
      <c r="Q95" s="1"/>
      <c r="R95" s="1"/>
      <c r="S95" s="1"/>
      <c r="T95" s="1"/>
      <c r="U95" s="1"/>
      <c r="V95" s="1"/>
      <c r="W95" s="1"/>
      <c r="X95" s="1"/>
      <c r="Y95" s="1"/>
    </row>
    <row r="96" customFormat="false" ht="15.75" hidden="false" customHeight="true" outlineLevel="0" collapsed="false">
      <c r="M96" s="1"/>
      <c r="N96" s="1"/>
      <c r="O96" s="1"/>
      <c r="P96" s="1"/>
      <c r="Q96" s="1"/>
      <c r="R96" s="1"/>
      <c r="S96" s="1"/>
      <c r="T96" s="1"/>
      <c r="U96" s="1"/>
      <c r="V96" s="1"/>
      <c r="W96" s="1"/>
      <c r="X96" s="1"/>
      <c r="Y96" s="1"/>
    </row>
    <row r="97" customFormat="false" ht="15.75" hidden="false" customHeight="true" outlineLevel="0" collapsed="false">
      <c r="M97" s="1"/>
      <c r="N97" s="1"/>
      <c r="O97" s="1"/>
      <c r="P97" s="1"/>
      <c r="Q97" s="1"/>
      <c r="R97" s="1"/>
      <c r="S97" s="1"/>
      <c r="T97" s="1"/>
      <c r="U97" s="1"/>
      <c r="V97" s="1"/>
      <c r="W97" s="1"/>
      <c r="X97" s="1"/>
      <c r="Y97" s="1"/>
    </row>
    <row r="98" customFormat="false" ht="15.75" hidden="false" customHeight="true" outlineLevel="0" collapsed="false">
      <c r="M98" s="1"/>
      <c r="N98" s="1"/>
      <c r="O98" s="1"/>
      <c r="P98" s="1"/>
      <c r="Q98" s="1"/>
      <c r="R98" s="1"/>
      <c r="S98" s="1"/>
      <c r="T98" s="1"/>
      <c r="U98" s="1"/>
      <c r="V98" s="1"/>
      <c r="W98" s="1"/>
      <c r="X98" s="1"/>
      <c r="Y98" s="1"/>
    </row>
    <row r="99" customFormat="false" ht="15.75" hidden="false" customHeight="true" outlineLevel="0" collapsed="false">
      <c r="M99" s="1"/>
      <c r="N99" s="1"/>
      <c r="O99" s="1"/>
      <c r="P99" s="1"/>
      <c r="Q99" s="1"/>
      <c r="R99" s="1"/>
      <c r="S99" s="1"/>
      <c r="T99" s="1"/>
      <c r="U99" s="1"/>
      <c r="V99" s="1"/>
      <c r="W99" s="1"/>
      <c r="X99" s="1"/>
      <c r="Y99" s="1"/>
    </row>
    <row r="100" customFormat="false" ht="15.75" hidden="false" customHeight="true" outlineLevel="0" collapsed="false">
      <c r="M100" s="1"/>
      <c r="N100" s="1"/>
      <c r="O100" s="1"/>
      <c r="P100" s="1"/>
      <c r="Q100" s="1"/>
      <c r="R100" s="1"/>
      <c r="S100" s="1"/>
      <c r="T100" s="1"/>
      <c r="U100" s="1"/>
      <c r="V100" s="1"/>
      <c r="W100" s="1"/>
      <c r="X100" s="1"/>
      <c r="Y100" s="1"/>
    </row>
    <row r="101" customFormat="false" ht="15.75" hidden="false" customHeight="true" outlineLevel="0" collapsed="false">
      <c r="M101" s="1"/>
      <c r="N101" s="1"/>
      <c r="O101" s="1"/>
      <c r="P101" s="1"/>
      <c r="Q101" s="1"/>
      <c r="R101" s="1"/>
      <c r="S101" s="1"/>
      <c r="T101" s="1"/>
      <c r="U101" s="1"/>
      <c r="V101" s="1"/>
      <c r="W101" s="1"/>
      <c r="X101" s="1"/>
      <c r="Y101" s="1"/>
    </row>
    <row r="102" customFormat="false" ht="15.75" hidden="false" customHeight="true" outlineLevel="0" collapsed="false">
      <c r="M102" s="1"/>
      <c r="N102" s="1"/>
      <c r="O102" s="1"/>
      <c r="P102" s="1"/>
      <c r="Q102" s="1"/>
      <c r="R102" s="1"/>
      <c r="S102" s="1"/>
      <c r="T102" s="1"/>
      <c r="U102" s="1"/>
      <c r="V102" s="1"/>
      <c r="W102" s="1"/>
      <c r="X102" s="1"/>
      <c r="Y102" s="1"/>
    </row>
    <row r="103" customFormat="false" ht="15.75" hidden="false" customHeight="true" outlineLevel="0" collapsed="false">
      <c r="M103" s="1"/>
      <c r="N103" s="1"/>
      <c r="O103" s="1"/>
      <c r="P103" s="1"/>
      <c r="Q103" s="1"/>
      <c r="R103" s="1"/>
      <c r="S103" s="1"/>
      <c r="T103" s="1"/>
      <c r="U103" s="1"/>
      <c r="V103" s="1"/>
      <c r="W103" s="1"/>
      <c r="X103" s="1"/>
      <c r="Y103" s="1"/>
    </row>
    <row r="104" customFormat="false" ht="15.75" hidden="false" customHeight="true" outlineLevel="0" collapsed="false">
      <c r="M104" s="1"/>
      <c r="N104" s="1"/>
      <c r="O104" s="1"/>
      <c r="P104" s="1"/>
      <c r="Q104" s="1"/>
      <c r="R104" s="1"/>
      <c r="S104" s="1"/>
      <c r="T104" s="1"/>
      <c r="U104" s="1"/>
      <c r="V104" s="1"/>
      <c r="W104" s="1"/>
      <c r="X104" s="1"/>
      <c r="Y104" s="1"/>
    </row>
    <row r="105" customFormat="false" ht="15.75" hidden="false" customHeight="true" outlineLevel="0" collapsed="false">
      <c r="M105" s="1"/>
      <c r="N105" s="1"/>
      <c r="O105" s="1"/>
      <c r="P105" s="1"/>
      <c r="Q105" s="1"/>
      <c r="R105" s="1"/>
      <c r="S105" s="1"/>
      <c r="T105" s="1"/>
      <c r="U105" s="1"/>
      <c r="V105" s="1"/>
      <c r="W105" s="1"/>
      <c r="X105" s="1"/>
      <c r="Y105" s="1"/>
    </row>
    <row r="106" customFormat="false" ht="15.75" hidden="false" customHeight="true" outlineLevel="0" collapsed="false">
      <c r="M106" s="1"/>
      <c r="N106" s="1"/>
      <c r="O106" s="1"/>
      <c r="P106" s="1"/>
      <c r="Q106" s="1"/>
      <c r="R106" s="1"/>
      <c r="S106" s="1"/>
      <c r="T106" s="1"/>
      <c r="U106" s="1"/>
      <c r="V106" s="1"/>
      <c r="W106" s="1"/>
      <c r="X106" s="1"/>
      <c r="Y106" s="1"/>
    </row>
    <row r="107" customFormat="false" ht="15.75" hidden="false" customHeight="true" outlineLevel="0" collapsed="false">
      <c r="M107" s="1"/>
      <c r="N107" s="1"/>
      <c r="O107" s="1"/>
      <c r="P107" s="1"/>
      <c r="Q107" s="1"/>
      <c r="R107" s="1"/>
      <c r="S107" s="1"/>
      <c r="T107" s="1"/>
      <c r="U107" s="1"/>
      <c r="V107" s="1"/>
      <c r="W107" s="1"/>
      <c r="X107" s="1"/>
      <c r="Y107" s="1"/>
    </row>
    <row r="108" customFormat="false" ht="15.75" hidden="false" customHeight="true" outlineLevel="0" collapsed="false">
      <c r="M108" s="1"/>
      <c r="N108" s="1"/>
      <c r="O108" s="1"/>
      <c r="P108" s="1"/>
      <c r="Q108" s="1"/>
      <c r="R108" s="1"/>
      <c r="S108" s="1"/>
      <c r="T108" s="1"/>
      <c r="U108" s="1"/>
      <c r="V108" s="1"/>
      <c r="W108" s="1"/>
      <c r="X108" s="1"/>
      <c r="Y108" s="1"/>
    </row>
    <row r="109" customFormat="false" ht="15.75" hidden="false" customHeight="true" outlineLevel="0" collapsed="false">
      <c r="M109" s="1"/>
      <c r="N109" s="1"/>
      <c r="O109" s="1"/>
      <c r="P109" s="1"/>
      <c r="Q109" s="1"/>
      <c r="R109" s="1"/>
      <c r="S109" s="1"/>
      <c r="T109" s="1"/>
      <c r="U109" s="1"/>
      <c r="V109" s="1"/>
      <c r="W109" s="1"/>
      <c r="X109" s="1"/>
      <c r="Y109" s="1"/>
    </row>
    <row r="110" customFormat="false" ht="15.75" hidden="false" customHeight="true" outlineLevel="0" collapsed="false">
      <c r="M110" s="1"/>
      <c r="N110" s="1"/>
      <c r="O110" s="1"/>
      <c r="P110" s="1"/>
      <c r="Q110" s="1"/>
      <c r="R110" s="1"/>
      <c r="S110" s="1"/>
      <c r="T110" s="1"/>
      <c r="U110" s="1"/>
      <c r="V110" s="1"/>
      <c r="W110" s="1"/>
      <c r="X110" s="1"/>
      <c r="Y110" s="1"/>
    </row>
    <row r="111" customFormat="false" ht="15.75" hidden="false" customHeight="true" outlineLevel="0" collapsed="false">
      <c r="M111" s="1"/>
      <c r="N111" s="1"/>
      <c r="O111" s="1"/>
      <c r="P111" s="1"/>
      <c r="Q111" s="1"/>
      <c r="R111" s="1"/>
      <c r="S111" s="1"/>
      <c r="T111" s="1"/>
      <c r="U111" s="1"/>
      <c r="V111" s="1"/>
      <c r="W111" s="1"/>
      <c r="X111" s="1"/>
      <c r="Y111" s="1"/>
    </row>
    <row r="112" customFormat="false" ht="15.75" hidden="false" customHeight="true" outlineLevel="0" collapsed="false">
      <c r="M112" s="1"/>
      <c r="N112" s="1"/>
      <c r="O112" s="1"/>
      <c r="P112" s="1"/>
      <c r="Q112" s="1"/>
      <c r="R112" s="1"/>
      <c r="S112" s="1"/>
      <c r="T112" s="1"/>
      <c r="U112" s="1"/>
      <c r="V112" s="1"/>
      <c r="W112" s="1"/>
      <c r="X112" s="1"/>
      <c r="Y112" s="1"/>
    </row>
    <row r="113" customFormat="false" ht="15.75" hidden="false" customHeight="true" outlineLevel="0" collapsed="false">
      <c r="M113" s="1"/>
      <c r="N113" s="1"/>
      <c r="O113" s="1"/>
      <c r="P113" s="1"/>
      <c r="Q113" s="1"/>
      <c r="R113" s="1"/>
      <c r="S113" s="1"/>
      <c r="T113" s="1"/>
      <c r="U113" s="1"/>
      <c r="V113" s="1"/>
      <c r="W113" s="1"/>
      <c r="X113" s="1"/>
      <c r="Y113" s="1"/>
    </row>
    <row r="114" customFormat="false" ht="15.75" hidden="false" customHeight="true" outlineLevel="0" collapsed="false">
      <c r="M114" s="1"/>
      <c r="N114" s="1"/>
      <c r="O114" s="1"/>
      <c r="P114" s="1"/>
      <c r="Q114" s="1"/>
      <c r="R114" s="1"/>
      <c r="S114" s="1"/>
      <c r="T114" s="1"/>
      <c r="U114" s="1"/>
      <c r="V114" s="1"/>
      <c r="W114" s="1"/>
      <c r="X114" s="1"/>
      <c r="Y114" s="1"/>
    </row>
    <row r="115" customFormat="false" ht="15.75" hidden="false" customHeight="true" outlineLevel="0" collapsed="false">
      <c r="M115" s="1"/>
      <c r="N115" s="1"/>
      <c r="O115" s="1"/>
      <c r="P115" s="1"/>
      <c r="Q115" s="1"/>
      <c r="R115" s="1"/>
      <c r="S115" s="1"/>
      <c r="T115" s="1"/>
      <c r="U115" s="1"/>
      <c r="V115" s="1"/>
      <c r="W115" s="1"/>
      <c r="X115" s="1"/>
      <c r="Y115" s="1"/>
    </row>
    <row r="116" customFormat="false" ht="15.75" hidden="false" customHeight="true" outlineLevel="0" collapsed="false">
      <c r="M116" s="1"/>
      <c r="N116" s="1"/>
      <c r="O116" s="1"/>
      <c r="P116" s="1"/>
      <c r="Q116" s="1"/>
      <c r="R116" s="1"/>
      <c r="S116" s="1"/>
      <c r="T116" s="1"/>
      <c r="U116" s="1"/>
      <c r="V116" s="1"/>
      <c r="W116" s="1"/>
      <c r="X116" s="1"/>
      <c r="Y116" s="1"/>
    </row>
    <row r="117" customFormat="false" ht="15.75" hidden="false" customHeight="true" outlineLevel="0" collapsed="false">
      <c r="M117" s="1"/>
      <c r="N117" s="1"/>
      <c r="O117" s="1"/>
      <c r="P117" s="1"/>
      <c r="Q117" s="1"/>
      <c r="R117" s="1"/>
      <c r="S117" s="1"/>
      <c r="T117" s="1"/>
      <c r="U117" s="1"/>
      <c r="V117" s="1"/>
      <c r="W117" s="1"/>
      <c r="X117" s="1"/>
      <c r="Y117" s="1"/>
    </row>
    <row r="118" customFormat="false" ht="15.75" hidden="false" customHeight="true" outlineLevel="0" collapsed="false">
      <c r="M118" s="1"/>
      <c r="N118" s="1"/>
      <c r="O118" s="1"/>
      <c r="P118" s="1"/>
      <c r="Q118" s="1"/>
      <c r="R118" s="1"/>
      <c r="S118" s="1"/>
      <c r="T118" s="1"/>
      <c r="U118" s="1"/>
      <c r="V118" s="1"/>
      <c r="W118" s="1"/>
      <c r="X118" s="1"/>
      <c r="Y118" s="1"/>
    </row>
    <row r="119" customFormat="false" ht="15.75" hidden="false" customHeight="true" outlineLevel="0" collapsed="false">
      <c r="M119" s="1"/>
      <c r="N119" s="1"/>
      <c r="O119" s="1"/>
      <c r="P119" s="1"/>
      <c r="Q119" s="1"/>
      <c r="R119" s="1"/>
      <c r="S119" s="1"/>
      <c r="T119" s="1"/>
      <c r="U119" s="1"/>
      <c r="V119" s="1"/>
      <c r="W119" s="1"/>
      <c r="X119" s="1"/>
      <c r="Y119" s="1"/>
    </row>
    <row r="120" customFormat="false" ht="15.75" hidden="false" customHeight="true" outlineLevel="0" collapsed="false">
      <c r="M120" s="1"/>
      <c r="N120" s="1"/>
      <c r="O120" s="1"/>
      <c r="P120" s="1"/>
      <c r="Q120" s="1"/>
      <c r="R120" s="1"/>
      <c r="S120" s="1"/>
      <c r="T120" s="1"/>
      <c r="U120" s="1"/>
      <c r="V120" s="1"/>
      <c r="W120" s="1"/>
      <c r="X120" s="1"/>
      <c r="Y120" s="1"/>
    </row>
    <row r="121" customFormat="false" ht="15.75" hidden="false" customHeight="true" outlineLevel="0" collapsed="false">
      <c r="M121" s="1"/>
      <c r="N121" s="1"/>
      <c r="O121" s="1"/>
      <c r="P121" s="1"/>
      <c r="Q121" s="1"/>
      <c r="R121" s="1"/>
      <c r="S121" s="1"/>
      <c r="T121" s="1"/>
      <c r="U121" s="1"/>
      <c r="V121" s="1"/>
      <c r="W121" s="1"/>
      <c r="X121" s="1"/>
      <c r="Y121" s="1"/>
    </row>
    <row r="122" customFormat="false" ht="15.75" hidden="false" customHeight="true" outlineLevel="0" collapsed="false">
      <c r="M122" s="1"/>
      <c r="N122" s="1"/>
      <c r="O122" s="1"/>
      <c r="P122" s="1"/>
      <c r="Q122" s="1"/>
      <c r="R122" s="1"/>
      <c r="S122" s="1"/>
      <c r="T122" s="1"/>
      <c r="U122" s="1"/>
      <c r="V122" s="1"/>
      <c r="W122" s="1"/>
      <c r="X122" s="1"/>
      <c r="Y122" s="1"/>
    </row>
    <row r="123" customFormat="false" ht="15.75" hidden="false" customHeight="true" outlineLevel="0" collapsed="false">
      <c r="M123" s="1"/>
      <c r="N123" s="1"/>
      <c r="O123" s="1"/>
      <c r="P123" s="1"/>
      <c r="Q123" s="1"/>
      <c r="R123" s="1"/>
      <c r="S123" s="1"/>
      <c r="T123" s="1"/>
      <c r="U123" s="1"/>
      <c r="V123" s="1"/>
      <c r="W123" s="1"/>
      <c r="X123" s="1"/>
      <c r="Y123" s="1"/>
    </row>
    <row r="124" customFormat="false" ht="15.75" hidden="false" customHeight="true" outlineLevel="0" collapsed="false">
      <c r="M124" s="1"/>
      <c r="N124" s="1"/>
      <c r="O124" s="1"/>
      <c r="P124" s="1"/>
      <c r="Q124" s="1"/>
      <c r="R124" s="1"/>
      <c r="S124" s="1"/>
      <c r="T124" s="1"/>
      <c r="U124" s="1"/>
      <c r="V124" s="1"/>
      <c r="W124" s="1"/>
      <c r="X124" s="1"/>
      <c r="Y124" s="1"/>
    </row>
    <row r="125" customFormat="false" ht="15.75" hidden="false" customHeight="true" outlineLevel="0" collapsed="false">
      <c r="M125" s="1"/>
      <c r="N125" s="1"/>
      <c r="O125" s="1"/>
      <c r="P125" s="1"/>
      <c r="Q125" s="1"/>
      <c r="R125" s="1"/>
      <c r="S125" s="1"/>
      <c r="T125" s="1"/>
      <c r="U125" s="1"/>
      <c r="V125" s="1"/>
      <c r="W125" s="1"/>
      <c r="X125" s="1"/>
      <c r="Y125" s="1"/>
    </row>
    <row r="126" customFormat="false" ht="15.75" hidden="false" customHeight="true" outlineLevel="0" collapsed="false">
      <c r="M126" s="1"/>
      <c r="N126" s="1"/>
      <c r="O126" s="1"/>
      <c r="P126" s="1"/>
      <c r="Q126" s="1"/>
      <c r="R126" s="1"/>
      <c r="S126" s="1"/>
      <c r="T126" s="1"/>
      <c r="U126" s="1"/>
      <c r="V126" s="1"/>
      <c r="W126" s="1"/>
      <c r="X126" s="1"/>
      <c r="Y126" s="1"/>
    </row>
    <row r="127" customFormat="false" ht="15.75" hidden="false" customHeight="true" outlineLevel="0" collapsed="false">
      <c r="M127" s="1"/>
      <c r="N127" s="1"/>
      <c r="O127" s="1"/>
      <c r="P127" s="1"/>
      <c r="Q127" s="1"/>
      <c r="R127" s="1"/>
      <c r="S127" s="1"/>
      <c r="T127" s="1"/>
      <c r="U127" s="1"/>
      <c r="V127" s="1"/>
      <c r="W127" s="1"/>
      <c r="X127" s="1"/>
      <c r="Y127" s="1"/>
    </row>
    <row r="128" customFormat="false" ht="15.75" hidden="false" customHeight="true" outlineLevel="0" collapsed="false">
      <c r="M128" s="1"/>
      <c r="N128" s="1"/>
      <c r="O128" s="1"/>
      <c r="P128" s="1"/>
      <c r="Q128" s="1"/>
      <c r="R128" s="1"/>
      <c r="S128" s="1"/>
      <c r="T128" s="1"/>
      <c r="U128" s="1"/>
      <c r="V128" s="1"/>
      <c r="W128" s="1"/>
      <c r="X128" s="1"/>
      <c r="Y128" s="1"/>
    </row>
    <row r="129" customFormat="false" ht="15.75" hidden="false" customHeight="true" outlineLevel="0" collapsed="false">
      <c r="M129" s="1"/>
      <c r="N129" s="1"/>
      <c r="O129" s="1"/>
      <c r="P129" s="1"/>
      <c r="Q129" s="1"/>
      <c r="R129" s="1"/>
      <c r="S129" s="1"/>
      <c r="T129" s="1"/>
      <c r="U129" s="1"/>
      <c r="V129" s="1"/>
      <c r="W129" s="1"/>
      <c r="X129" s="1"/>
      <c r="Y129" s="1"/>
    </row>
    <row r="130" customFormat="false" ht="15.75" hidden="false" customHeight="true" outlineLevel="0" collapsed="false">
      <c r="M130" s="1"/>
      <c r="N130" s="1"/>
      <c r="O130" s="1"/>
      <c r="P130" s="1"/>
      <c r="Q130" s="1"/>
      <c r="R130" s="1"/>
      <c r="S130" s="1"/>
      <c r="T130" s="1"/>
      <c r="U130" s="1"/>
      <c r="V130" s="1"/>
      <c r="W130" s="1"/>
      <c r="X130" s="1"/>
      <c r="Y130" s="1"/>
    </row>
    <row r="131" customFormat="false" ht="15.75" hidden="false" customHeight="true" outlineLevel="0" collapsed="false">
      <c r="M131" s="1"/>
      <c r="N131" s="1"/>
      <c r="O131" s="1"/>
      <c r="P131" s="1"/>
      <c r="Q131" s="1"/>
      <c r="R131" s="1"/>
      <c r="S131" s="1"/>
      <c r="T131" s="1"/>
      <c r="U131" s="1"/>
      <c r="V131" s="1"/>
      <c r="W131" s="1"/>
      <c r="X131" s="1"/>
      <c r="Y131" s="1"/>
    </row>
    <row r="132" customFormat="false" ht="15.75" hidden="false" customHeight="true" outlineLevel="0" collapsed="false">
      <c r="M132" s="1"/>
      <c r="N132" s="1"/>
      <c r="O132" s="1"/>
      <c r="P132" s="1"/>
      <c r="Q132" s="1"/>
      <c r="R132" s="1"/>
      <c r="S132" s="1"/>
      <c r="T132" s="1"/>
      <c r="U132" s="1"/>
      <c r="V132" s="1"/>
      <c r="W132" s="1"/>
      <c r="X132" s="1"/>
      <c r="Y132" s="1"/>
    </row>
    <row r="133" customFormat="false" ht="15.75" hidden="false" customHeight="true" outlineLevel="0" collapsed="false">
      <c r="M133" s="1"/>
      <c r="N133" s="1"/>
      <c r="O133" s="1"/>
      <c r="P133" s="1"/>
      <c r="Q133" s="1"/>
      <c r="R133" s="1"/>
      <c r="S133" s="1"/>
      <c r="T133" s="1"/>
      <c r="U133" s="1"/>
      <c r="V133" s="1"/>
      <c r="W133" s="1"/>
      <c r="X133" s="1"/>
      <c r="Y133" s="1"/>
    </row>
    <row r="134" customFormat="false" ht="15.75" hidden="false" customHeight="true" outlineLevel="0" collapsed="false">
      <c r="M134" s="1"/>
      <c r="N134" s="1"/>
      <c r="O134" s="1"/>
      <c r="P134" s="1"/>
      <c r="Q134" s="1"/>
      <c r="R134" s="1"/>
      <c r="S134" s="1"/>
      <c r="T134" s="1"/>
      <c r="U134" s="1"/>
      <c r="V134" s="1"/>
      <c r="W134" s="1"/>
      <c r="X134" s="1"/>
      <c r="Y134" s="1"/>
    </row>
    <row r="135" customFormat="false" ht="15.75" hidden="false" customHeight="true" outlineLevel="0" collapsed="false">
      <c r="M135" s="1"/>
      <c r="N135" s="1"/>
      <c r="O135" s="1"/>
      <c r="P135" s="1"/>
      <c r="Q135" s="1"/>
      <c r="R135" s="1"/>
      <c r="S135" s="1"/>
      <c r="T135" s="1"/>
      <c r="U135" s="1"/>
      <c r="V135" s="1"/>
      <c r="W135" s="1"/>
      <c r="X135" s="1"/>
      <c r="Y135" s="1"/>
    </row>
    <row r="136" customFormat="false" ht="15.75" hidden="false" customHeight="true" outlineLevel="0" collapsed="false">
      <c r="M136" s="1"/>
      <c r="N136" s="1"/>
      <c r="O136" s="1"/>
      <c r="P136" s="1"/>
      <c r="Q136" s="1"/>
      <c r="R136" s="1"/>
      <c r="S136" s="1"/>
      <c r="T136" s="1"/>
      <c r="U136" s="1"/>
      <c r="V136" s="1"/>
      <c r="W136" s="1"/>
      <c r="X136" s="1"/>
      <c r="Y136" s="1"/>
    </row>
    <row r="137" customFormat="false" ht="15.75" hidden="false" customHeight="true" outlineLevel="0" collapsed="false">
      <c r="M137" s="1"/>
      <c r="N137" s="1"/>
      <c r="O137" s="1"/>
      <c r="P137" s="1"/>
      <c r="Q137" s="1"/>
      <c r="R137" s="1"/>
      <c r="S137" s="1"/>
      <c r="T137" s="1"/>
      <c r="U137" s="1"/>
      <c r="V137" s="1"/>
      <c r="W137" s="1"/>
      <c r="X137" s="1"/>
      <c r="Y137" s="1"/>
    </row>
    <row r="138" customFormat="false" ht="15.75" hidden="false" customHeight="true" outlineLevel="0" collapsed="false">
      <c r="M138" s="1"/>
      <c r="N138" s="1"/>
      <c r="O138" s="1"/>
      <c r="P138" s="1"/>
      <c r="Q138" s="1"/>
      <c r="R138" s="1"/>
      <c r="S138" s="1"/>
      <c r="T138" s="1"/>
      <c r="U138" s="1"/>
      <c r="V138" s="1"/>
      <c r="W138" s="1"/>
      <c r="X138" s="1"/>
      <c r="Y138" s="1"/>
    </row>
    <row r="139" customFormat="false" ht="15.75" hidden="false" customHeight="true" outlineLevel="0" collapsed="false">
      <c r="M139" s="1"/>
      <c r="N139" s="1"/>
      <c r="O139" s="1"/>
      <c r="P139" s="1"/>
      <c r="Q139" s="1"/>
      <c r="R139" s="1"/>
      <c r="S139" s="1"/>
      <c r="T139" s="1"/>
      <c r="U139" s="1"/>
      <c r="V139" s="1"/>
      <c r="W139" s="1"/>
      <c r="X139" s="1"/>
      <c r="Y139" s="1"/>
    </row>
    <row r="140" customFormat="false" ht="15.75" hidden="false" customHeight="true" outlineLevel="0" collapsed="false">
      <c r="M140" s="1"/>
      <c r="N140" s="1"/>
      <c r="O140" s="1"/>
      <c r="P140" s="1"/>
      <c r="Q140" s="1"/>
      <c r="R140" s="1"/>
      <c r="S140" s="1"/>
      <c r="T140" s="1"/>
      <c r="U140" s="1"/>
      <c r="V140" s="1"/>
      <c r="W140" s="1"/>
      <c r="X140" s="1"/>
      <c r="Y140" s="1"/>
    </row>
    <row r="141" customFormat="false" ht="15.75" hidden="false" customHeight="true" outlineLevel="0" collapsed="false">
      <c r="M141" s="1"/>
      <c r="N141" s="1"/>
      <c r="O141" s="1"/>
      <c r="P141" s="1"/>
      <c r="Q141" s="1"/>
      <c r="R141" s="1"/>
      <c r="S141" s="1"/>
      <c r="T141" s="1"/>
      <c r="U141" s="1"/>
      <c r="V141" s="1"/>
      <c r="W141" s="1"/>
      <c r="X141" s="1"/>
      <c r="Y141" s="1"/>
    </row>
    <row r="142" customFormat="false" ht="15.75" hidden="false" customHeight="true" outlineLevel="0" collapsed="false">
      <c r="M142" s="1"/>
      <c r="N142" s="1"/>
      <c r="O142" s="1"/>
      <c r="P142" s="1"/>
      <c r="Q142" s="1"/>
      <c r="R142" s="1"/>
      <c r="S142" s="1"/>
      <c r="T142" s="1"/>
      <c r="U142" s="1"/>
      <c r="V142" s="1"/>
      <c r="W142" s="1"/>
      <c r="X142" s="1"/>
      <c r="Y142" s="1"/>
    </row>
    <row r="143" customFormat="false" ht="15.75" hidden="false" customHeight="true" outlineLevel="0" collapsed="false">
      <c r="M143" s="1"/>
      <c r="N143" s="1"/>
      <c r="O143" s="1"/>
      <c r="P143" s="1"/>
      <c r="Q143" s="1"/>
      <c r="R143" s="1"/>
      <c r="S143" s="1"/>
      <c r="T143" s="1"/>
      <c r="U143" s="1"/>
      <c r="V143" s="1"/>
      <c r="W143" s="1"/>
      <c r="X143" s="1"/>
      <c r="Y143" s="1"/>
    </row>
    <row r="144" customFormat="false" ht="15.75" hidden="false" customHeight="true" outlineLevel="0" collapsed="false">
      <c r="M144" s="1"/>
      <c r="N144" s="1"/>
      <c r="O144" s="1"/>
      <c r="P144" s="1"/>
      <c r="Q144" s="1"/>
      <c r="R144" s="1"/>
      <c r="S144" s="1"/>
      <c r="T144" s="1"/>
      <c r="U144" s="1"/>
      <c r="V144" s="1"/>
      <c r="W144" s="1"/>
      <c r="X144" s="1"/>
      <c r="Y144" s="1"/>
    </row>
    <row r="145" customFormat="false" ht="15.75" hidden="false" customHeight="true" outlineLevel="0" collapsed="false">
      <c r="M145" s="1"/>
      <c r="N145" s="1"/>
      <c r="O145" s="1"/>
      <c r="P145" s="1"/>
      <c r="Q145" s="1"/>
      <c r="R145" s="1"/>
      <c r="S145" s="1"/>
      <c r="T145" s="1"/>
      <c r="U145" s="1"/>
      <c r="V145" s="1"/>
      <c r="W145" s="1"/>
      <c r="X145" s="1"/>
      <c r="Y145" s="1"/>
    </row>
    <row r="146" customFormat="false" ht="15.75" hidden="false" customHeight="true" outlineLevel="0" collapsed="false">
      <c r="M146" s="1"/>
      <c r="N146" s="1"/>
      <c r="O146" s="1"/>
      <c r="P146" s="1"/>
      <c r="Q146" s="1"/>
      <c r="R146" s="1"/>
      <c r="S146" s="1"/>
      <c r="T146" s="1"/>
      <c r="U146" s="1"/>
      <c r="V146" s="1"/>
      <c r="W146" s="1"/>
      <c r="X146" s="1"/>
      <c r="Y146" s="1"/>
    </row>
    <row r="147" customFormat="false" ht="15.75" hidden="false" customHeight="true" outlineLevel="0" collapsed="false">
      <c r="M147" s="1"/>
      <c r="N147" s="1"/>
      <c r="O147" s="1"/>
      <c r="P147" s="1"/>
      <c r="Q147" s="1"/>
      <c r="R147" s="1"/>
      <c r="S147" s="1"/>
      <c r="T147" s="1"/>
      <c r="U147" s="1"/>
      <c r="V147" s="1"/>
      <c r="W147" s="1"/>
      <c r="X147" s="1"/>
      <c r="Y147" s="1"/>
    </row>
    <row r="148" customFormat="false" ht="15.75" hidden="false" customHeight="true" outlineLevel="0" collapsed="false">
      <c r="M148" s="1"/>
      <c r="N148" s="1"/>
      <c r="O148" s="1"/>
      <c r="P148" s="1"/>
      <c r="Q148" s="1"/>
      <c r="R148" s="1"/>
      <c r="S148" s="1"/>
      <c r="T148" s="1"/>
      <c r="U148" s="1"/>
      <c r="V148" s="1"/>
      <c r="W148" s="1"/>
      <c r="X148" s="1"/>
      <c r="Y148" s="1"/>
    </row>
    <row r="149" customFormat="false" ht="15.75" hidden="false" customHeight="true" outlineLevel="0" collapsed="false">
      <c r="M149" s="1"/>
      <c r="N149" s="1"/>
      <c r="O149" s="1"/>
      <c r="P149" s="1"/>
      <c r="Q149" s="1"/>
      <c r="R149" s="1"/>
      <c r="S149" s="1"/>
      <c r="T149" s="1"/>
      <c r="U149" s="1"/>
      <c r="V149" s="1"/>
      <c r="W149" s="1"/>
      <c r="X149" s="1"/>
      <c r="Y149" s="1"/>
    </row>
    <row r="150" customFormat="false" ht="15.75" hidden="false" customHeight="true" outlineLevel="0" collapsed="false">
      <c r="M150" s="1"/>
      <c r="N150" s="1"/>
      <c r="O150" s="1"/>
      <c r="P150" s="1"/>
      <c r="Q150" s="1"/>
      <c r="R150" s="1"/>
      <c r="S150" s="1"/>
      <c r="T150" s="1"/>
      <c r="U150" s="1"/>
      <c r="V150" s="1"/>
      <c r="W150" s="1"/>
      <c r="X150" s="1"/>
      <c r="Y150" s="1"/>
    </row>
    <row r="151" customFormat="false" ht="15.75" hidden="false" customHeight="true" outlineLevel="0" collapsed="false">
      <c r="M151" s="1"/>
      <c r="N151" s="1"/>
      <c r="O151" s="1"/>
      <c r="P151" s="1"/>
      <c r="Q151" s="1"/>
      <c r="R151" s="1"/>
      <c r="S151" s="1"/>
      <c r="T151" s="1"/>
      <c r="U151" s="1"/>
      <c r="V151" s="1"/>
      <c r="W151" s="1"/>
      <c r="X151" s="1"/>
      <c r="Y151" s="1"/>
    </row>
    <row r="152" customFormat="false" ht="15.75" hidden="false" customHeight="true" outlineLevel="0" collapsed="false">
      <c r="M152" s="1"/>
      <c r="N152" s="1"/>
      <c r="O152" s="1"/>
      <c r="P152" s="1"/>
      <c r="Q152" s="1"/>
      <c r="R152" s="1"/>
      <c r="S152" s="1"/>
      <c r="T152" s="1"/>
      <c r="U152" s="1"/>
      <c r="V152" s="1"/>
      <c r="W152" s="1"/>
      <c r="X152" s="1"/>
      <c r="Y152" s="1"/>
    </row>
    <row r="153" customFormat="false" ht="15.75" hidden="false" customHeight="true" outlineLevel="0" collapsed="false">
      <c r="M153" s="1"/>
      <c r="N153" s="1"/>
      <c r="O153" s="1"/>
      <c r="P153" s="1"/>
      <c r="Q153" s="1"/>
      <c r="R153" s="1"/>
      <c r="S153" s="1"/>
      <c r="T153" s="1"/>
      <c r="U153" s="1"/>
      <c r="V153" s="1"/>
      <c r="W153" s="1"/>
      <c r="X153" s="1"/>
      <c r="Y153" s="1"/>
    </row>
    <row r="154" customFormat="false" ht="15.75" hidden="false" customHeight="true" outlineLevel="0" collapsed="false">
      <c r="M154" s="1"/>
      <c r="N154" s="1"/>
      <c r="O154" s="1"/>
      <c r="P154" s="1"/>
      <c r="Q154" s="1"/>
      <c r="R154" s="1"/>
      <c r="S154" s="1"/>
      <c r="T154" s="1"/>
      <c r="U154" s="1"/>
      <c r="V154" s="1"/>
      <c r="W154" s="1"/>
      <c r="X154" s="1"/>
      <c r="Y154" s="1"/>
    </row>
    <row r="155" customFormat="false" ht="15.75" hidden="false" customHeight="true" outlineLevel="0" collapsed="false">
      <c r="M155" s="1"/>
      <c r="N155" s="1"/>
      <c r="O155" s="1"/>
      <c r="P155" s="1"/>
      <c r="Q155" s="1"/>
      <c r="R155" s="1"/>
      <c r="S155" s="1"/>
      <c r="T155" s="1"/>
      <c r="U155" s="1"/>
      <c r="V155" s="1"/>
      <c r="W155" s="1"/>
      <c r="X155" s="1"/>
      <c r="Y155" s="1"/>
    </row>
    <row r="156" customFormat="false" ht="15.75" hidden="false" customHeight="true" outlineLevel="0" collapsed="false">
      <c r="M156" s="1"/>
      <c r="N156" s="1"/>
      <c r="O156" s="1"/>
      <c r="P156" s="1"/>
      <c r="Q156" s="1"/>
      <c r="R156" s="1"/>
      <c r="S156" s="1"/>
      <c r="T156" s="1"/>
      <c r="U156" s="1"/>
      <c r="V156" s="1"/>
      <c r="W156" s="1"/>
      <c r="X156" s="1"/>
      <c r="Y156" s="1"/>
    </row>
    <row r="157" customFormat="false" ht="15.75" hidden="false" customHeight="true" outlineLevel="0" collapsed="false">
      <c r="M157" s="1"/>
      <c r="N157" s="1"/>
      <c r="O157" s="1"/>
      <c r="P157" s="1"/>
      <c r="Q157" s="1"/>
      <c r="R157" s="1"/>
      <c r="S157" s="1"/>
      <c r="T157" s="1"/>
      <c r="U157" s="1"/>
      <c r="V157" s="1"/>
      <c r="W157" s="1"/>
      <c r="X157" s="1"/>
      <c r="Y157" s="1"/>
    </row>
    <row r="158" customFormat="false" ht="15.75" hidden="false" customHeight="true" outlineLevel="0" collapsed="false">
      <c r="M158" s="1"/>
      <c r="N158" s="1"/>
      <c r="O158" s="1"/>
      <c r="P158" s="1"/>
      <c r="Q158" s="1"/>
      <c r="R158" s="1"/>
      <c r="S158" s="1"/>
      <c r="T158" s="1"/>
      <c r="U158" s="1"/>
      <c r="V158" s="1"/>
      <c r="W158" s="1"/>
      <c r="X158" s="1"/>
      <c r="Y158" s="1"/>
    </row>
    <row r="159" customFormat="false" ht="15.75" hidden="false" customHeight="true" outlineLevel="0" collapsed="false">
      <c r="M159" s="1"/>
      <c r="N159" s="1"/>
      <c r="O159" s="1"/>
      <c r="P159" s="1"/>
      <c r="Q159" s="1"/>
      <c r="R159" s="1"/>
      <c r="S159" s="1"/>
      <c r="T159" s="1"/>
      <c r="U159" s="1"/>
      <c r="V159" s="1"/>
      <c r="W159" s="1"/>
      <c r="X159" s="1"/>
      <c r="Y159" s="1"/>
    </row>
    <row r="160" customFormat="false" ht="15.75" hidden="false" customHeight="true" outlineLevel="0" collapsed="false">
      <c r="M160" s="1"/>
      <c r="N160" s="1"/>
      <c r="O160" s="1"/>
      <c r="P160" s="1"/>
      <c r="Q160" s="1"/>
      <c r="R160" s="1"/>
      <c r="S160" s="1"/>
      <c r="T160" s="1"/>
      <c r="U160" s="1"/>
      <c r="V160" s="1"/>
      <c r="W160" s="1"/>
      <c r="X160" s="1"/>
      <c r="Y160" s="1"/>
    </row>
    <row r="161" customFormat="false" ht="15.75" hidden="false" customHeight="true" outlineLevel="0" collapsed="false">
      <c r="M161" s="1"/>
      <c r="N161" s="1"/>
      <c r="O161" s="1"/>
      <c r="P161" s="1"/>
      <c r="Q161" s="1"/>
      <c r="R161" s="1"/>
      <c r="S161" s="1"/>
      <c r="T161" s="1"/>
      <c r="U161" s="1"/>
      <c r="V161" s="1"/>
      <c r="W161" s="1"/>
      <c r="X161" s="1"/>
      <c r="Y161" s="1"/>
    </row>
    <row r="162" customFormat="false" ht="15.75" hidden="false" customHeight="true" outlineLevel="0" collapsed="false">
      <c r="M162" s="1"/>
      <c r="N162" s="1"/>
      <c r="O162" s="1"/>
      <c r="P162" s="1"/>
      <c r="Q162" s="1"/>
      <c r="R162" s="1"/>
      <c r="S162" s="1"/>
      <c r="T162" s="1"/>
      <c r="U162" s="1"/>
      <c r="V162" s="1"/>
      <c r="W162" s="1"/>
      <c r="X162" s="1"/>
      <c r="Y162" s="1"/>
    </row>
    <row r="163" customFormat="false" ht="15.75" hidden="false" customHeight="true" outlineLevel="0" collapsed="false">
      <c r="M163" s="1"/>
      <c r="N163" s="1"/>
      <c r="O163" s="1"/>
      <c r="P163" s="1"/>
      <c r="Q163" s="1"/>
      <c r="R163" s="1"/>
      <c r="S163" s="1"/>
      <c r="T163" s="1"/>
      <c r="U163" s="1"/>
      <c r="V163" s="1"/>
      <c r="W163" s="1"/>
      <c r="X163" s="1"/>
      <c r="Y163" s="1"/>
    </row>
    <row r="164" customFormat="false" ht="15.75" hidden="false" customHeight="true" outlineLevel="0" collapsed="false">
      <c r="M164" s="1"/>
      <c r="N164" s="1"/>
      <c r="O164" s="1"/>
      <c r="P164" s="1"/>
      <c r="Q164" s="1"/>
      <c r="R164" s="1"/>
      <c r="S164" s="1"/>
      <c r="T164" s="1"/>
      <c r="U164" s="1"/>
      <c r="V164" s="1"/>
      <c r="W164" s="1"/>
      <c r="X164" s="1"/>
      <c r="Y164" s="1"/>
    </row>
    <row r="165" customFormat="false" ht="15.75" hidden="false" customHeight="true" outlineLevel="0" collapsed="false">
      <c r="M165" s="1"/>
      <c r="N165" s="1"/>
      <c r="O165" s="1"/>
      <c r="P165" s="1"/>
      <c r="Q165" s="1"/>
      <c r="R165" s="1"/>
      <c r="S165" s="1"/>
      <c r="T165" s="1"/>
      <c r="U165" s="1"/>
      <c r="V165" s="1"/>
      <c r="W165" s="1"/>
      <c r="X165" s="1"/>
      <c r="Y165" s="1"/>
    </row>
    <row r="166" customFormat="false" ht="15.75" hidden="false" customHeight="true" outlineLevel="0" collapsed="false">
      <c r="M166" s="1"/>
      <c r="N166" s="1"/>
      <c r="O166" s="1"/>
      <c r="P166" s="1"/>
      <c r="Q166" s="1"/>
      <c r="R166" s="1"/>
      <c r="S166" s="1"/>
      <c r="T166" s="1"/>
      <c r="U166" s="1"/>
      <c r="V166" s="1"/>
      <c r="W166" s="1"/>
      <c r="X166" s="1"/>
      <c r="Y166" s="1"/>
    </row>
    <row r="167" customFormat="false" ht="15.75" hidden="false" customHeight="true" outlineLevel="0" collapsed="false">
      <c r="M167" s="1"/>
      <c r="N167" s="1"/>
      <c r="O167" s="1"/>
      <c r="P167" s="1"/>
      <c r="Q167" s="1"/>
      <c r="R167" s="1"/>
      <c r="S167" s="1"/>
      <c r="T167" s="1"/>
      <c r="U167" s="1"/>
      <c r="V167" s="1"/>
      <c r="W167" s="1"/>
      <c r="X167" s="1"/>
      <c r="Y167" s="1"/>
    </row>
    <row r="168" customFormat="false" ht="15.75" hidden="false" customHeight="true" outlineLevel="0" collapsed="false">
      <c r="M168" s="1"/>
      <c r="N168" s="1"/>
      <c r="O168" s="1"/>
      <c r="P168" s="1"/>
      <c r="Q168" s="1"/>
      <c r="R168" s="1"/>
      <c r="S168" s="1"/>
      <c r="T168" s="1"/>
      <c r="U168" s="1"/>
      <c r="V168" s="1"/>
      <c r="W168" s="1"/>
      <c r="X168" s="1"/>
      <c r="Y168" s="1"/>
    </row>
    <row r="169" customFormat="false" ht="15.75" hidden="false" customHeight="true" outlineLevel="0" collapsed="false">
      <c r="M169" s="1"/>
      <c r="N169" s="1"/>
      <c r="O169" s="1"/>
      <c r="P169" s="1"/>
      <c r="Q169" s="1"/>
      <c r="R169" s="1"/>
      <c r="S169" s="1"/>
      <c r="T169" s="1"/>
      <c r="U169" s="1"/>
      <c r="V169" s="1"/>
      <c r="W169" s="1"/>
      <c r="X169" s="1"/>
      <c r="Y169" s="1"/>
    </row>
    <row r="170" customFormat="false" ht="15.75" hidden="false" customHeight="true" outlineLevel="0" collapsed="false">
      <c r="M170" s="1"/>
      <c r="N170" s="1"/>
      <c r="O170" s="1"/>
      <c r="P170" s="1"/>
      <c r="Q170" s="1"/>
      <c r="R170" s="1"/>
      <c r="S170" s="1"/>
      <c r="T170" s="1"/>
      <c r="U170" s="1"/>
      <c r="V170" s="1"/>
      <c r="W170" s="1"/>
      <c r="X170" s="1"/>
      <c r="Y170" s="1"/>
    </row>
    <row r="171" customFormat="false" ht="15.75" hidden="false" customHeight="true" outlineLevel="0" collapsed="false">
      <c r="M171" s="1"/>
      <c r="N171" s="1"/>
      <c r="O171" s="1"/>
      <c r="P171" s="1"/>
      <c r="Q171" s="1"/>
      <c r="R171" s="1"/>
      <c r="S171" s="1"/>
      <c r="T171" s="1"/>
      <c r="U171" s="1"/>
      <c r="V171" s="1"/>
      <c r="W171" s="1"/>
      <c r="X171" s="1"/>
      <c r="Y171" s="1"/>
    </row>
    <row r="172" customFormat="false" ht="15.75" hidden="false" customHeight="true" outlineLevel="0" collapsed="false">
      <c r="M172" s="1"/>
      <c r="N172" s="1"/>
      <c r="O172" s="1"/>
      <c r="P172" s="1"/>
      <c r="Q172" s="1"/>
      <c r="R172" s="1"/>
      <c r="S172" s="1"/>
      <c r="T172" s="1"/>
      <c r="U172" s="1"/>
      <c r="V172" s="1"/>
      <c r="W172" s="1"/>
      <c r="X172" s="1"/>
      <c r="Y172" s="1"/>
    </row>
    <row r="173" customFormat="false" ht="15.75" hidden="false" customHeight="true" outlineLevel="0" collapsed="false">
      <c r="M173" s="1"/>
      <c r="N173" s="1"/>
      <c r="O173" s="1"/>
      <c r="P173" s="1"/>
      <c r="Q173" s="1"/>
      <c r="R173" s="1"/>
      <c r="S173" s="1"/>
      <c r="T173" s="1"/>
      <c r="U173" s="1"/>
      <c r="V173" s="1"/>
      <c r="W173" s="1"/>
      <c r="X173" s="1"/>
      <c r="Y173" s="1"/>
    </row>
    <row r="174" customFormat="false" ht="15.75" hidden="false" customHeight="true" outlineLevel="0" collapsed="false">
      <c r="M174" s="1"/>
      <c r="N174" s="1"/>
      <c r="O174" s="1"/>
      <c r="P174" s="1"/>
      <c r="Q174" s="1"/>
      <c r="R174" s="1"/>
      <c r="S174" s="1"/>
      <c r="T174" s="1"/>
      <c r="U174" s="1"/>
      <c r="V174" s="1"/>
      <c r="W174" s="1"/>
      <c r="X174" s="1"/>
      <c r="Y174" s="1"/>
    </row>
    <row r="175" customFormat="false" ht="15.75" hidden="false" customHeight="true" outlineLevel="0" collapsed="false">
      <c r="M175" s="1"/>
      <c r="N175" s="1"/>
      <c r="O175" s="1"/>
      <c r="P175" s="1"/>
      <c r="Q175" s="1"/>
      <c r="R175" s="1"/>
      <c r="S175" s="1"/>
      <c r="T175" s="1"/>
      <c r="U175" s="1"/>
      <c r="V175" s="1"/>
      <c r="W175" s="1"/>
      <c r="X175" s="1"/>
      <c r="Y175" s="1"/>
    </row>
    <row r="176" customFormat="false" ht="15.75" hidden="false" customHeight="true" outlineLevel="0" collapsed="false">
      <c r="M176" s="1"/>
      <c r="N176" s="1"/>
      <c r="O176" s="1"/>
      <c r="P176" s="1"/>
      <c r="Q176" s="1"/>
      <c r="R176" s="1"/>
      <c r="S176" s="1"/>
      <c r="T176" s="1"/>
      <c r="U176" s="1"/>
      <c r="V176" s="1"/>
      <c r="W176" s="1"/>
      <c r="X176" s="1"/>
      <c r="Y176" s="1"/>
    </row>
    <row r="177" customFormat="false" ht="15.75" hidden="false" customHeight="true" outlineLevel="0" collapsed="false">
      <c r="M177" s="1"/>
      <c r="N177" s="1"/>
      <c r="O177" s="1"/>
      <c r="P177" s="1"/>
      <c r="Q177" s="1"/>
      <c r="R177" s="1"/>
      <c r="S177" s="1"/>
      <c r="T177" s="1"/>
      <c r="U177" s="1"/>
      <c r="V177" s="1"/>
      <c r="W177" s="1"/>
      <c r="X177" s="1"/>
      <c r="Y177" s="1"/>
    </row>
    <row r="178" customFormat="false" ht="15.75" hidden="false" customHeight="true" outlineLevel="0" collapsed="false">
      <c r="M178" s="1"/>
      <c r="N178" s="1"/>
      <c r="O178" s="1"/>
      <c r="P178" s="1"/>
      <c r="Q178" s="1"/>
      <c r="R178" s="1"/>
      <c r="S178" s="1"/>
      <c r="T178" s="1"/>
      <c r="U178" s="1"/>
      <c r="V178" s="1"/>
      <c r="W178" s="1"/>
      <c r="X178" s="1"/>
      <c r="Y178" s="1"/>
    </row>
    <row r="179" customFormat="false" ht="15.75" hidden="false" customHeight="true" outlineLevel="0" collapsed="false">
      <c r="M179" s="1"/>
      <c r="N179" s="1"/>
      <c r="O179" s="1"/>
      <c r="P179" s="1"/>
      <c r="Q179" s="1"/>
      <c r="R179" s="1"/>
      <c r="S179" s="1"/>
      <c r="T179" s="1"/>
      <c r="U179" s="1"/>
      <c r="V179" s="1"/>
      <c r="W179" s="1"/>
      <c r="X179" s="1"/>
      <c r="Y179" s="1"/>
    </row>
    <row r="180" customFormat="false" ht="15.75" hidden="false" customHeight="true" outlineLevel="0" collapsed="false">
      <c r="M180" s="1"/>
      <c r="N180" s="1"/>
      <c r="O180" s="1"/>
      <c r="P180" s="1"/>
      <c r="Q180" s="1"/>
      <c r="R180" s="1"/>
      <c r="S180" s="1"/>
      <c r="T180" s="1"/>
      <c r="U180" s="1"/>
      <c r="V180" s="1"/>
      <c r="W180" s="1"/>
      <c r="X180" s="1"/>
      <c r="Y180" s="1"/>
    </row>
    <row r="181" customFormat="false" ht="15.75" hidden="false" customHeight="true" outlineLevel="0" collapsed="false">
      <c r="M181" s="1"/>
      <c r="N181" s="1"/>
      <c r="O181" s="1"/>
      <c r="P181" s="1"/>
      <c r="Q181" s="1"/>
      <c r="R181" s="1"/>
      <c r="S181" s="1"/>
      <c r="T181" s="1"/>
      <c r="U181" s="1"/>
      <c r="V181" s="1"/>
      <c r="W181" s="1"/>
      <c r="X181" s="1"/>
      <c r="Y181" s="1"/>
    </row>
    <row r="182" customFormat="false" ht="15.75" hidden="false" customHeight="true" outlineLevel="0" collapsed="false">
      <c r="M182" s="1"/>
      <c r="N182" s="1"/>
      <c r="O182" s="1"/>
      <c r="P182" s="1"/>
      <c r="Q182" s="1"/>
      <c r="R182" s="1"/>
      <c r="S182" s="1"/>
      <c r="T182" s="1"/>
      <c r="U182" s="1"/>
      <c r="V182" s="1"/>
      <c r="W182" s="1"/>
      <c r="X182" s="1"/>
      <c r="Y182" s="1"/>
    </row>
    <row r="183" customFormat="false" ht="15.75" hidden="false" customHeight="true" outlineLevel="0" collapsed="false">
      <c r="M183" s="1"/>
      <c r="N183" s="1"/>
      <c r="O183" s="1"/>
      <c r="P183" s="1"/>
      <c r="Q183" s="1"/>
      <c r="R183" s="1"/>
      <c r="S183" s="1"/>
      <c r="T183" s="1"/>
      <c r="U183" s="1"/>
      <c r="V183" s="1"/>
      <c r="W183" s="1"/>
      <c r="X183" s="1"/>
      <c r="Y183" s="1"/>
    </row>
    <row r="184" customFormat="false" ht="15.75" hidden="false" customHeight="true" outlineLevel="0" collapsed="false">
      <c r="M184" s="1"/>
      <c r="N184" s="1"/>
      <c r="O184" s="1"/>
      <c r="P184" s="1"/>
      <c r="Q184" s="1"/>
      <c r="R184" s="1"/>
      <c r="S184" s="1"/>
      <c r="T184" s="1"/>
      <c r="U184" s="1"/>
      <c r="V184" s="1"/>
      <c r="W184" s="1"/>
      <c r="X184" s="1"/>
      <c r="Y184" s="1"/>
    </row>
    <row r="185" customFormat="false" ht="15.75" hidden="false" customHeight="true" outlineLevel="0" collapsed="false">
      <c r="M185" s="1"/>
      <c r="N185" s="1"/>
      <c r="O185" s="1"/>
      <c r="P185" s="1"/>
      <c r="Q185" s="1"/>
      <c r="R185" s="1"/>
      <c r="S185" s="1"/>
      <c r="T185" s="1"/>
      <c r="U185" s="1"/>
      <c r="V185" s="1"/>
      <c r="W185" s="1"/>
      <c r="X185" s="1"/>
      <c r="Y185" s="1"/>
    </row>
    <row r="186" customFormat="false" ht="15.75" hidden="false" customHeight="true" outlineLevel="0" collapsed="false">
      <c r="M186" s="1"/>
      <c r="N186" s="1"/>
      <c r="O186" s="1"/>
      <c r="P186" s="1"/>
      <c r="Q186" s="1"/>
      <c r="R186" s="1"/>
      <c r="S186" s="1"/>
      <c r="T186" s="1"/>
      <c r="U186" s="1"/>
      <c r="V186" s="1"/>
      <c r="W186" s="1"/>
      <c r="X186" s="1"/>
      <c r="Y186" s="1"/>
    </row>
    <row r="187" customFormat="false" ht="15.75" hidden="false" customHeight="true" outlineLevel="0" collapsed="false">
      <c r="M187" s="1"/>
      <c r="N187" s="1"/>
      <c r="O187" s="1"/>
      <c r="P187" s="1"/>
      <c r="Q187" s="1"/>
      <c r="R187" s="1"/>
      <c r="S187" s="1"/>
      <c r="T187" s="1"/>
      <c r="U187" s="1"/>
      <c r="V187" s="1"/>
      <c r="W187" s="1"/>
      <c r="X187" s="1"/>
      <c r="Y187" s="1"/>
    </row>
    <row r="188" customFormat="false" ht="15.75" hidden="false" customHeight="true" outlineLevel="0" collapsed="false">
      <c r="M188" s="1"/>
      <c r="N188" s="1"/>
      <c r="O188" s="1"/>
      <c r="P188" s="1"/>
      <c r="Q188" s="1"/>
      <c r="R188" s="1"/>
      <c r="S188" s="1"/>
      <c r="T188" s="1"/>
      <c r="U188" s="1"/>
      <c r="V188" s="1"/>
      <c r="W188" s="1"/>
      <c r="X188" s="1"/>
      <c r="Y188" s="1"/>
    </row>
    <row r="189" customFormat="false" ht="15.75" hidden="false" customHeight="true" outlineLevel="0" collapsed="false">
      <c r="M189" s="1"/>
      <c r="N189" s="1"/>
      <c r="O189" s="1"/>
      <c r="P189" s="1"/>
      <c r="Q189" s="1"/>
      <c r="R189" s="1"/>
      <c r="S189" s="1"/>
      <c r="T189" s="1"/>
      <c r="U189" s="1"/>
      <c r="V189" s="1"/>
      <c r="W189" s="1"/>
      <c r="X189" s="1"/>
      <c r="Y189" s="1"/>
    </row>
    <row r="190" customFormat="false" ht="15.75" hidden="false" customHeight="true" outlineLevel="0" collapsed="false">
      <c r="M190" s="1"/>
      <c r="N190" s="1"/>
      <c r="O190" s="1"/>
      <c r="P190" s="1"/>
      <c r="Q190" s="1"/>
      <c r="R190" s="1"/>
      <c r="S190" s="1"/>
      <c r="T190" s="1"/>
      <c r="U190" s="1"/>
      <c r="V190" s="1"/>
      <c r="W190" s="1"/>
      <c r="X190" s="1"/>
      <c r="Y190" s="1"/>
    </row>
    <row r="191" customFormat="false" ht="15.75" hidden="false" customHeight="true" outlineLevel="0" collapsed="false">
      <c r="M191" s="1"/>
      <c r="N191" s="1"/>
      <c r="O191" s="1"/>
      <c r="P191" s="1"/>
      <c r="Q191" s="1"/>
      <c r="R191" s="1"/>
      <c r="S191" s="1"/>
      <c r="T191" s="1"/>
      <c r="U191" s="1"/>
      <c r="V191" s="1"/>
      <c r="W191" s="1"/>
      <c r="X191" s="1"/>
      <c r="Y191" s="1"/>
    </row>
    <row r="192" customFormat="false" ht="15.75" hidden="false" customHeight="true" outlineLevel="0" collapsed="false">
      <c r="M192" s="1"/>
      <c r="N192" s="1"/>
      <c r="O192" s="1"/>
      <c r="P192" s="1"/>
      <c r="Q192" s="1"/>
      <c r="R192" s="1"/>
      <c r="S192" s="1"/>
      <c r="T192" s="1"/>
      <c r="U192" s="1"/>
      <c r="V192" s="1"/>
      <c r="W192" s="1"/>
      <c r="X192" s="1"/>
      <c r="Y192" s="1"/>
    </row>
    <row r="193" customFormat="false" ht="15.75" hidden="false" customHeight="true" outlineLevel="0" collapsed="false">
      <c r="M193" s="1"/>
      <c r="N193" s="1"/>
      <c r="O193" s="1"/>
      <c r="P193" s="1"/>
      <c r="Q193" s="1"/>
      <c r="R193" s="1"/>
      <c r="S193" s="1"/>
      <c r="T193" s="1"/>
      <c r="U193" s="1"/>
      <c r="V193" s="1"/>
      <c r="W193" s="1"/>
      <c r="X193" s="1"/>
      <c r="Y193" s="1"/>
    </row>
    <row r="194" customFormat="false" ht="15.75" hidden="false" customHeight="true" outlineLevel="0" collapsed="false">
      <c r="M194" s="1"/>
      <c r="N194" s="1"/>
      <c r="O194" s="1"/>
      <c r="P194" s="1"/>
      <c r="Q194" s="1"/>
      <c r="R194" s="1"/>
      <c r="S194" s="1"/>
      <c r="T194" s="1"/>
      <c r="U194" s="1"/>
      <c r="V194" s="1"/>
      <c r="W194" s="1"/>
      <c r="X194" s="1"/>
      <c r="Y194" s="1"/>
    </row>
    <row r="195" customFormat="false" ht="15.75" hidden="false" customHeight="true" outlineLevel="0" collapsed="false">
      <c r="M195" s="1"/>
      <c r="N195" s="1"/>
      <c r="O195" s="1"/>
      <c r="P195" s="1"/>
      <c r="Q195" s="1"/>
      <c r="R195" s="1"/>
      <c r="S195" s="1"/>
      <c r="T195" s="1"/>
      <c r="U195" s="1"/>
      <c r="V195" s="1"/>
      <c r="W195" s="1"/>
      <c r="X195" s="1"/>
      <c r="Y195" s="1"/>
    </row>
    <row r="196" customFormat="false" ht="15.75" hidden="false" customHeight="true" outlineLevel="0" collapsed="false">
      <c r="M196" s="1"/>
      <c r="N196" s="1"/>
      <c r="O196" s="1"/>
      <c r="P196" s="1"/>
      <c r="Q196" s="1"/>
      <c r="R196" s="1"/>
      <c r="S196" s="1"/>
      <c r="T196" s="1"/>
      <c r="U196" s="1"/>
      <c r="V196" s="1"/>
      <c r="W196" s="1"/>
      <c r="X196" s="1"/>
      <c r="Y196" s="1"/>
    </row>
    <row r="197" customFormat="false" ht="15.75" hidden="false" customHeight="true" outlineLevel="0" collapsed="false">
      <c r="M197" s="1"/>
      <c r="N197" s="1"/>
      <c r="O197" s="1"/>
      <c r="P197" s="1"/>
      <c r="Q197" s="1"/>
      <c r="R197" s="1"/>
      <c r="S197" s="1"/>
      <c r="T197" s="1"/>
      <c r="U197" s="1"/>
      <c r="V197" s="1"/>
      <c r="W197" s="1"/>
      <c r="X197" s="1"/>
      <c r="Y197" s="1"/>
    </row>
    <row r="198" customFormat="false" ht="15.75" hidden="false" customHeight="true" outlineLevel="0" collapsed="false">
      <c r="M198" s="1"/>
      <c r="N198" s="1"/>
      <c r="O198" s="1"/>
      <c r="P198" s="1"/>
      <c r="Q198" s="1"/>
      <c r="R198" s="1"/>
      <c r="S198" s="1"/>
      <c r="T198" s="1"/>
      <c r="U198" s="1"/>
      <c r="V198" s="1"/>
      <c r="W198" s="1"/>
      <c r="X198" s="1"/>
      <c r="Y198" s="1"/>
    </row>
    <row r="199" customFormat="false" ht="15.75" hidden="false" customHeight="true" outlineLevel="0" collapsed="false">
      <c r="M199" s="1"/>
      <c r="N199" s="1"/>
      <c r="O199" s="1"/>
      <c r="P199" s="1"/>
      <c r="Q199" s="1"/>
      <c r="R199" s="1"/>
      <c r="S199" s="1"/>
      <c r="T199" s="1"/>
      <c r="U199" s="1"/>
      <c r="V199" s="1"/>
      <c r="W199" s="1"/>
      <c r="X199" s="1"/>
      <c r="Y199" s="1"/>
    </row>
    <row r="200" customFormat="false" ht="15.75" hidden="false" customHeight="true" outlineLevel="0" collapsed="false">
      <c r="M200" s="1"/>
      <c r="N200" s="1"/>
      <c r="O200" s="1"/>
      <c r="P200" s="1"/>
      <c r="Q200" s="1"/>
      <c r="R200" s="1"/>
      <c r="S200" s="1"/>
      <c r="T200" s="1"/>
      <c r="U200" s="1"/>
      <c r="V200" s="1"/>
      <c r="W200" s="1"/>
      <c r="X200" s="1"/>
      <c r="Y200" s="1"/>
    </row>
    <row r="201" customFormat="false" ht="15.75" hidden="false" customHeight="true" outlineLevel="0" collapsed="false">
      <c r="M201" s="1"/>
      <c r="N201" s="1"/>
      <c r="O201" s="1"/>
      <c r="P201" s="1"/>
      <c r="Q201" s="1"/>
      <c r="R201" s="1"/>
      <c r="S201" s="1"/>
      <c r="T201" s="1"/>
      <c r="U201" s="1"/>
      <c r="V201" s="1"/>
      <c r="W201" s="1"/>
      <c r="X201" s="1"/>
      <c r="Y201" s="1"/>
    </row>
    <row r="202" customFormat="false" ht="15.75" hidden="false" customHeight="true" outlineLevel="0" collapsed="false">
      <c r="M202" s="1"/>
      <c r="N202" s="1"/>
      <c r="O202" s="1"/>
      <c r="P202" s="1"/>
      <c r="Q202" s="1"/>
      <c r="R202" s="1"/>
      <c r="S202" s="1"/>
      <c r="T202" s="1"/>
      <c r="U202" s="1"/>
      <c r="V202" s="1"/>
      <c r="W202" s="1"/>
      <c r="X202" s="1"/>
      <c r="Y202" s="1"/>
    </row>
    <row r="203" customFormat="false" ht="15.75" hidden="false" customHeight="true" outlineLevel="0" collapsed="false">
      <c r="M203" s="1"/>
      <c r="N203" s="1"/>
      <c r="O203" s="1"/>
      <c r="P203" s="1"/>
      <c r="Q203" s="1"/>
      <c r="R203" s="1"/>
      <c r="S203" s="1"/>
      <c r="T203" s="1"/>
      <c r="U203" s="1"/>
      <c r="V203" s="1"/>
      <c r="W203" s="1"/>
      <c r="X203" s="1"/>
      <c r="Y203" s="1"/>
    </row>
    <row r="204" customFormat="false" ht="15.75" hidden="false" customHeight="true" outlineLevel="0" collapsed="false">
      <c r="M204" s="1"/>
      <c r="N204" s="1"/>
      <c r="O204" s="1"/>
      <c r="P204" s="1"/>
      <c r="Q204" s="1"/>
      <c r="R204" s="1"/>
      <c r="S204" s="1"/>
      <c r="T204" s="1"/>
      <c r="U204" s="1"/>
      <c r="V204" s="1"/>
      <c r="W204" s="1"/>
      <c r="X204" s="1"/>
      <c r="Y204" s="1"/>
    </row>
    <row r="205" customFormat="false" ht="15.75" hidden="false" customHeight="true" outlineLevel="0" collapsed="false">
      <c r="M205" s="1"/>
      <c r="N205" s="1"/>
      <c r="O205" s="1"/>
      <c r="P205" s="1"/>
      <c r="Q205" s="1"/>
      <c r="R205" s="1"/>
      <c r="S205" s="1"/>
      <c r="T205" s="1"/>
      <c r="U205" s="1"/>
      <c r="V205" s="1"/>
      <c r="W205" s="1"/>
      <c r="X205" s="1"/>
      <c r="Y205" s="1"/>
    </row>
    <row r="206" customFormat="false" ht="15.75" hidden="false" customHeight="true" outlineLevel="0" collapsed="false">
      <c r="M206" s="1"/>
      <c r="N206" s="1"/>
      <c r="O206" s="1"/>
      <c r="P206" s="1"/>
      <c r="Q206" s="1"/>
      <c r="R206" s="1"/>
      <c r="S206" s="1"/>
      <c r="T206" s="1"/>
      <c r="U206" s="1"/>
      <c r="V206" s="1"/>
      <c r="W206" s="1"/>
      <c r="X206" s="1"/>
      <c r="Y206" s="1"/>
    </row>
    <row r="207" customFormat="false" ht="15.75" hidden="false" customHeight="true" outlineLevel="0" collapsed="false">
      <c r="M207" s="1"/>
      <c r="N207" s="1"/>
      <c r="O207" s="1"/>
      <c r="P207" s="1"/>
      <c r="Q207" s="1"/>
      <c r="R207" s="1"/>
      <c r="S207" s="1"/>
      <c r="T207" s="1"/>
      <c r="U207" s="1"/>
      <c r="V207" s="1"/>
      <c r="W207" s="1"/>
      <c r="X207" s="1"/>
      <c r="Y207" s="1"/>
    </row>
    <row r="208" customFormat="false" ht="15.75" hidden="false" customHeight="true" outlineLevel="0" collapsed="false">
      <c r="M208" s="1"/>
      <c r="N208" s="1"/>
      <c r="O208" s="1"/>
      <c r="P208" s="1"/>
      <c r="Q208" s="1"/>
      <c r="R208" s="1"/>
      <c r="S208" s="1"/>
      <c r="T208" s="1"/>
      <c r="U208" s="1"/>
      <c r="V208" s="1"/>
      <c r="W208" s="1"/>
      <c r="X208" s="1"/>
      <c r="Y208" s="1"/>
    </row>
    <row r="209" customFormat="false" ht="15.75" hidden="false" customHeight="true" outlineLevel="0" collapsed="false">
      <c r="M209" s="1"/>
      <c r="N209" s="1"/>
      <c r="O209" s="1"/>
      <c r="P209" s="1"/>
      <c r="Q209" s="1"/>
      <c r="R209" s="1"/>
      <c r="S209" s="1"/>
      <c r="T209" s="1"/>
      <c r="U209" s="1"/>
      <c r="V209" s="1"/>
      <c r="W209" s="1"/>
      <c r="X209" s="1"/>
      <c r="Y209" s="1"/>
    </row>
    <row r="210" customFormat="false" ht="15.75" hidden="false" customHeight="true" outlineLevel="0" collapsed="false">
      <c r="M210" s="1"/>
      <c r="N210" s="1"/>
      <c r="O210" s="1"/>
      <c r="P210" s="1"/>
      <c r="Q210" s="1"/>
      <c r="R210" s="1"/>
      <c r="S210" s="1"/>
      <c r="T210" s="1"/>
      <c r="U210" s="1"/>
      <c r="V210" s="1"/>
      <c r="W210" s="1"/>
      <c r="X210" s="1"/>
      <c r="Y210" s="1"/>
    </row>
    <row r="211" customFormat="false" ht="15.75" hidden="false" customHeight="true" outlineLevel="0" collapsed="false">
      <c r="M211" s="1"/>
      <c r="N211" s="1"/>
      <c r="O211" s="1"/>
      <c r="P211" s="1"/>
      <c r="Q211" s="1"/>
      <c r="R211" s="1"/>
      <c r="S211" s="1"/>
      <c r="T211" s="1"/>
      <c r="U211" s="1"/>
      <c r="V211" s="1"/>
      <c r="W211" s="1"/>
      <c r="X211" s="1"/>
      <c r="Y211" s="1"/>
    </row>
    <row r="212" customFormat="false" ht="15.75" hidden="false" customHeight="true" outlineLevel="0" collapsed="false">
      <c r="M212" s="1"/>
      <c r="N212" s="1"/>
      <c r="O212" s="1"/>
      <c r="P212" s="1"/>
      <c r="Q212" s="1"/>
      <c r="R212" s="1"/>
      <c r="S212" s="1"/>
      <c r="T212" s="1"/>
      <c r="U212" s="1"/>
      <c r="V212" s="1"/>
      <c r="W212" s="1"/>
      <c r="X212" s="1"/>
      <c r="Y212" s="1"/>
    </row>
    <row r="213" customFormat="false" ht="15.75" hidden="false" customHeight="true" outlineLevel="0" collapsed="false">
      <c r="M213" s="1"/>
      <c r="N213" s="1"/>
      <c r="O213" s="1"/>
      <c r="P213" s="1"/>
      <c r="Q213" s="1"/>
      <c r="R213" s="1"/>
      <c r="S213" s="1"/>
      <c r="T213" s="1"/>
      <c r="U213" s="1"/>
      <c r="V213" s="1"/>
      <c r="W213" s="1"/>
      <c r="X213" s="1"/>
      <c r="Y213" s="1"/>
    </row>
    <row r="214" customFormat="false" ht="15.75" hidden="false" customHeight="true" outlineLevel="0" collapsed="false">
      <c r="M214" s="1"/>
      <c r="N214" s="1"/>
      <c r="O214" s="1"/>
      <c r="P214" s="1"/>
      <c r="Q214" s="1"/>
      <c r="R214" s="1"/>
      <c r="S214" s="1"/>
      <c r="T214" s="1"/>
      <c r="U214" s="1"/>
      <c r="V214" s="1"/>
      <c r="W214" s="1"/>
      <c r="X214" s="1"/>
      <c r="Y214" s="1"/>
    </row>
    <row r="215" customFormat="false" ht="15.75" hidden="false" customHeight="true" outlineLevel="0" collapsed="false">
      <c r="M215" s="1"/>
      <c r="N215" s="1"/>
      <c r="O215" s="1"/>
      <c r="P215" s="1"/>
      <c r="Q215" s="1"/>
      <c r="R215" s="1"/>
      <c r="S215" s="1"/>
      <c r="T215" s="1"/>
      <c r="U215" s="1"/>
      <c r="V215" s="1"/>
      <c r="W215" s="1"/>
      <c r="X215" s="1"/>
      <c r="Y215" s="1"/>
    </row>
    <row r="216" customFormat="false" ht="15.75" hidden="false" customHeight="true" outlineLevel="0" collapsed="false">
      <c r="M216" s="1"/>
      <c r="N216" s="1"/>
      <c r="O216" s="1"/>
      <c r="P216" s="1"/>
      <c r="Q216" s="1"/>
      <c r="R216" s="1"/>
      <c r="S216" s="1"/>
      <c r="T216" s="1"/>
      <c r="U216" s="1"/>
      <c r="V216" s="1"/>
      <c r="W216" s="1"/>
      <c r="X216" s="1"/>
      <c r="Y216" s="1"/>
    </row>
    <row r="217" customFormat="false" ht="15.75" hidden="false" customHeight="true" outlineLevel="0" collapsed="false">
      <c r="M217" s="1"/>
      <c r="N217" s="1"/>
      <c r="O217" s="1"/>
      <c r="P217" s="1"/>
      <c r="Q217" s="1"/>
      <c r="R217" s="1"/>
      <c r="S217" s="1"/>
      <c r="T217" s="1"/>
      <c r="U217" s="1"/>
      <c r="V217" s="1"/>
      <c r="W217" s="1"/>
      <c r="X217" s="1"/>
      <c r="Y217" s="1"/>
    </row>
    <row r="218" customFormat="false" ht="15.75" hidden="false" customHeight="true" outlineLevel="0" collapsed="false">
      <c r="M218" s="1"/>
      <c r="N218" s="1"/>
      <c r="O218" s="1"/>
      <c r="P218" s="1"/>
      <c r="Q218" s="1"/>
      <c r="R218" s="1"/>
      <c r="S218" s="1"/>
      <c r="T218" s="1"/>
      <c r="U218" s="1"/>
      <c r="V218" s="1"/>
      <c r="W218" s="1"/>
      <c r="X218" s="1"/>
      <c r="Y218" s="1"/>
    </row>
    <row r="219" customFormat="false" ht="15.75" hidden="false" customHeight="true" outlineLevel="0" collapsed="false">
      <c r="M219" s="1"/>
      <c r="N219" s="1"/>
      <c r="O219" s="1"/>
      <c r="P219" s="1"/>
      <c r="Q219" s="1"/>
      <c r="R219" s="1"/>
      <c r="S219" s="1"/>
      <c r="T219" s="1"/>
      <c r="U219" s="1"/>
      <c r="V219" s="1"/>
      <c r="W219" s="1"/>
      <c r="X219" s="1"/>
      <c r="Y219" s="1"/>
    </row>
    <row r="220" customFormat="false" ht="15.75" hidden="false" customHeight="true" outlineLevel="0" collapsed="false">
      <c r="M220" s="1"/>
      <c r="N220" s="1"/>
      <c r="O220" s="1"/>
      <c r="P220" s="1"/>
      <c r="Q220" s="1"/>
      <c r="R220" s="1"/>
      <c r="S220" s="1"/>
      <c r="T220" s="1"/>
      <c r="U220" s="1"/>
      <c r="V220" s="1"/>
      <c r="W220" s="1"/>
      <c r="X220" s="1"/>
      <c r="Y220" s="1"/>
    </row>
    <row r="221" customFormat="false" ht="15.75" hidden="false" customHeight="true" outlineLevel="0" collapsed="false">
      <c r="M221" s="1"/>
      <c r="N221" s="1"/>
      <c r="O221" s="1"/>
      <c r="P221" s="1"/>
      <c r="Q221" s="1"/>
      <c r="R221" s="1"/>
      <c r="S221" s="1"/>
      <c r="T221" s="1"/>
      <c r="U221" s="1"/>
      <c r="V221" s="1"/>
      <c r="W221" s="1"/>
      <c r="X221" s="1"/>
      <c r="Y221" s="1"/>
    </row>
    <row r="222" customFormat="false" ht="15.75" hidden="false" customHeight="true" outlineLevel="0" collapsed="false">
      <c r="M222" s="1"/>
      <c r="N222" s="1"/>
      <c r="O222" s="1"/>
      <c r="P222" s="1"/>
      <c r="Q222" s="1"/>
      <c r="R222" s="1"/>
      <c r="S222" s="1"/>
      <c r="T222" s="1"/>
      <c r="U222" s="1"/>
      <c r="V222" s="1"/>
      <c r="W222" s="1"/>
      <c r="X222" s="1"/>
      <c r="Y222" s="1"/>
    </row>
    <row r="223" customFormat="false" ht="15.75" hidden="false" customHeight="true" outlineLevel="0" collapsed="false">
      <c r="M223" s="1"/>
      <c r="N223" s="1"/>
      <c r="O223" s="1"/>
      <c r="P223" s="1"/>
      <c r="Q223" s="1"/>
      <c r="R223" s="1"/>
      <c r="S223" s="1"/>
      <c r="T223" s="1"/>
      <c r="U223" s="1"/>
      <c r="V223" s="1"/>
      <c r="W223" s="1"/>
      <c r="X223" s="1"/>
      <c r="Y223" s="1"/>
    </row>
    <row r="224" customFormat="false" ht="15.75" hidden="false" customHeight="true" outlineLevel="0" collapsed="false">
      <c r="M224" s="1"/>
      <c r="N224" s="1"/>
      <c r="O224" s="1"/>
      <c r="P224" s="1"/>
      <c r="Q224" s="1"/>
      <c r="R224" s="1"/>
      <c r="S224" s="1"/>
      <c r="T224" s="1"/>
      <c r="U224" s="1"/>
      <c r="V224" s="1"/>
      <c r="W224" s="1"/>
      <c r="X224" s="1"/>
      <c r="Y224" s="1"/>
    </row>
    <row r="225" customFormat="false" ht="15.75" hidden="false" customHeight="true" outlineLevel="0" collapsed="false">
      <c r="M225" s="1"/>
      <c r="N225" s="1"/>
      <c r="O225" s="1"/>
      <c r="P225" s="1"/>
      <c r="Q225" s="1"/>
      <c r="R225" s="1"/>
      <c r="S225" s="1"/>
      <c r="T225" s="1"/>
      <c r="U225" s="1"/>
      <c r="V225" s="1"/>
      <c r="W225" s="1"/>
      <c r="X225" s="1"/>
      <c r="Y225" s="1"/>
    </row>
    <row r="226" customFormat="false" ht="15.75" hidden="false" customHeight="true" outlineLevel="0" collapsed="false">
      <c r="M226" s="1"/>
      <c r="N226" s="1"/>
      <c r="O226" s="1"/>
      <c r="P226" s="1"/>
      <c r="Q226" s="1"/>
      <c r="R226" s="1"/>
      <c r="S226" s="1"/>
      <c r="T226" s="1"/>
      <c r="U226" s="1"/>
      <c r="V226" s="1"/>
      <c r="W226" s="1"/>
      <c r="X226" s="1"/>
      <c r="Y226" s="1"/>
    </row>
    <row r="227" customFormat="false" ht="15.75" hidden="false" customHeight="true" outlineLevel="0" collapsed="false">
      <c r="M227" s="1"/>
      <c r="N227" s="1"/>
      <c r="O227" s="1"/>
      <c r="P227" s="1"/>
      <c r="Q227" s="1"/>
      <c r="R227" s="1"/>
      <c r="S227" s="1"/>
      <c r="T227" s="1"/>
      <c r="U227" s="1"/>
      <c r="V227" s="1"/>
      <c r="W227" s="1"/>
      <c r="X227" s="1"/>
      <c r="Y227" s="1"/>
    </row>
    <row r="228" customFormat="false" ht="15.75" hidden="false" customHeight="true" outlineLevel="0" collapsed="false">
      <c r="M228" s="1"/>
      <c r="N228" s="1"/>
      <c r="O228" s="1"/>
      <c r="P228" s="1"/>
      <c r="Q228" s="1"/>
      <c r="R228" s="1"/>
      <c r="S228" s="1"/>
      <c r="T228" s="1"/>
      <c r="U228" s="1"/>
      <c r="V228" s="1"/>
      <c r="W228" s="1"/>
      <c r="X228" s="1"/>
      <c r="Y228" s="1"/>
    </row>
    <row r="229" customFormat="false" ht="15.75" hidden="false" customHeight="true" outlineLevel="0" collapsed="false">
      <c r="M229" s="1"/>
      <c r="N229" s="1"/>
      <c r="O229" s="1"/>
      <c r="P229" s="1"/>
      <c r="Q229" s="1"/>
      <c r="R229" s="1"/>
      <c r="S229" s="1"/>
      <c r="T229" s="1"/>
      <c r="U229" s="1"/>
      <c r="V229" s="1"/>
      <c r="W229" s="1"/>
      <c r="X229" s="1"/>
      <c r="Y229" s="1"/>
    </row>
    <row r="230" customFormat="false" ht="15.75" hidden="false" customHeight="true" outlineLevel="0" collapsed="false">
      <c r="M230" s="1"/>
      <c r="N230" s="1"/>
      <c r="O230" s="1"/>
      <c r="P230" s="1"/>
      <c r="Q230" s="1"/>
      <c r="R230" s="1"/>
      <c r="S230" s="1"/>
      <c r="T230" s="1"/>
      <c r="U230" s="1"/>
      <c r="V230" s="1"/>
      <c r="W230" s="1"/>
      <c r="X230" s="1"/>
      <c r="Y230" s="1"/>
    </row>
    <row r="231" customFormat="false" ht="15.75" hidden="false" customHeight="true" outlineLevel="0" collapsed="false">
      <c r="M231" s="1"/>
      <c r="N231" s="1"/>
      <c r="O231" s="1"/>
      <c r="P231" s="1"/>
      <c r="Q231" s="1"/>
      <c r="R231" s="1"/>
      <c r="S231" s="1"/>
      <c r="T231" s="1"/>
      <c r="U231" s="1"/>
      <c r="V231" s="1"/>
      <c r="W231" s="1"/>
      <c r="X231" s="1"/>
      <c r="Y231" s="1"/>
    </row>
    <row r="232" customFormat="false" ht="15.75" hidden="false" customHeight="true" outlineLevel="0" collapsed="false">
      <c r="M232" s="1"/>
      <c r="N232" s="1"/>
      <c r="O232" s="1"/>
      <c r="P232" s="1"/>
      <c r="Q232" s="1"/>
      <c r="R232" s="1"/>
      <c r="S232" s="1"/>
      <c r="T232" s="1"/>
      <c r="U232" s="1"/>
      <c r="V232" s="1"/>
      <c r="W232" s="1"/>
      <c r="X232" s="1"/>
      <c r="Y232" s="1"/>
    </row>
    <row r="233" customFormat="false" ht="15.75" hidden="false" customHeight="true" outlineLevel="0" collapsed="false">
      <c r="M233" s="1"/>
      <c r="N233" s="1"/>
      <c r="O233" s="1"/>
      <c r="P233" s="1"/>
      <c r="Q233" s="1"/>
      <c r="R233" s="1"/>
      <c r="S233" s="1"/>
      <c r="T233" s="1"/>
      <c r="U233" s="1"/>
      <c r="V233" s="1"/>
      <c r="W233" s="1"/>
      <c r="X233" s="1"/>
      <c r="Y233" s="1"/>
    </row>
    <row r="234" customFormat="false" ht="15.75" hidden="false" customHeight="true" outlineLevel="0" collapsed="false">
      <c r="M234" s="1"/>
      <c r="N234" s="1"/>
      <c r="O234" s="1"/>
      <c r="P234" s="1"/>
      <c r="Q234" s="1"/>
      <c r="R234" s="1"/>
      <c r="S234" s="1"/>
      <c r="T234" s="1"/>
      <c r="U234" s="1"/>
      <c r="V234" s="1"/>
      <c r="W234" s="1"/>
      <c r="X234" s="1"/>
      <c r="Y234" s="1"/>
    </row>
    <row r="235" customFormat="false" ht="15.75" hidden="false" customHeight="true" outlineLevel="0" collapsed="false">
      <c r="M235" s="1"/>
      <c r="N235" s="1"/>
      <c r="O235" s="1"/>
      <c r="P235" s="1"/>
      <c r="Q235" s="1"/>
      <c r="R235" s="1"/>
      <c r="S235" s="1"/>
      <c r="T235" s="1"/>
      <c r="U235" s="1"/>
      <c r="V235" s="1"/>
      <c r="W235" s="1"/>
      <c r="X235" s="1"/>
      <c r="Y235" s="1"/>
    </row>
    <row r="236" customFormat="false" ht="15.75" hidden="false" customHeight="true" outlineLevel="0" collapsed="false">
      <c r="M236" s="1"/>
      <c r="N236" s="1"/>
      <c r="O236" s="1"/>
      <c r="P236" s="1"/>
      <c r="Q236" s="1"/>
      <c r="R236" s="1"/>
      <c r="S236" s="1"/>
      <c r="T236" s="1"/>
      <c r="U236" s="1"/>
      <c r="V236" s="1"/>
      <c r="W236" s="1"/>
      <c r="X236" s="1"/>
      <c r="Y236" s="1"/>
    </row>
    <row r="237" customFormat="false" ht="15.75" hidden="false" customHeight="true" outlineLevel="0" collapsed="false">
      <c r="M237" s="1"/>
      <c r="N237" s="1"/>
      <c r="O237" s="1"/>
      <c r="P237" s="1"/>
      <c r="Q237" s="1"/>
      <c r="R237" s="1"/>
      <c r="S237" s="1"/>
      <c r="T237" s="1"/>
      <c r="U237" s="1"/>
      <c r="V237" s="1"/>
      <c r="W237" s="1"/>
      <c r="X237" s="1"/>
      <c r="Y237" s="1"/>
    </row>
    <row r="238" customFormat="false" ht="15.75" hidden="false" customHeight="true" outlineLevel="0" collapsed="false">
      <c r="M238" s="1"/>
      <c r="N238" s="1"/>
      <c r="O238" s="1"/>
      <c r="P238" s="1"/>
      <c r="Q238" s="1"/>
      <c r="R238" s="1"/>
      <c r="S238" s="1"/>
      <c r="T238" s="1"/>
      <c r="U238" s="1"/>
      <c r="V238" s="1"/>
      <c r="W238" s="1"/>
      <c r="X238" s="1"/>
      <c r="Y238" s="1"/>
    </row>
    <row r="239" customFormat="false" ht="15.75" hidden="false" customHeight="true" outlineLevel="0" collapsed="false">
      <c r="M239" s="1"/>
      <c r="N239" s="1"/>
      <c r="O239" s="1"/>
      <c r="P239" s="1"/>
      <c r="Q239" s="1"/>
      <c r="R239" s="1"/>
      <c r="S239" s="1"/>
      <c r="T239" s="1"/>
      <c r="U239" s="1"/>
      <c r="V239" s="1"/>
      <c r="W239" s="1"/>
      <c r="X239" s="1"/>
      <c r="Y239" s="1"/>
    </row>
    <row r="240" customFormat="false" ht="15.75" hidden="false" customHeight="true" outlineLevel="0" collapsed="false">
      <c r="M240" s="1"/>
      <c r="N240" s="1"/>
      <c r="O240" s="1"/>
      <c r="P240" s="1"/>
      <c r="Q240" s="1"/>
      <c r="R240" s="1"/>
      <c r="S240" s="1"/>
      <c r="T240" s="1"/>
      <c r="U240" s="1"/>
      <c r="V240" s="1"/>
      <c r="W240" s="1"/>
      <c r="X240" s="1"/>
      <c r="Y240" s="1"/>
    </row>
    <row r="241" customFormat="false" ht="15.75" hidden="false" customHeight="true" outlineLevel="0" collapsed="false">
      <c r="M241" s="1"/>
      <c r="N241" s="1"/>
      <c r="O241" s="1"/>
      <c r="P241" s="1"/>
      <c r="Q241" s="1"/>
      <c r="R241" s="1"/>
      <c r="S241" s="1"/>
      <c r="T241" s="1"/>
      <c r="U241" s="1"/>
      <c r="V241" s="1"/>
      <c r="W241" s="1"/>
      <c r="X241" s="1"/>
      <c r="Y241" s="1"/>
    </row>
    <row r="242" customFormat="false" ht="15.75" hidden="false" customHeight="true" outlineLevel="0" collapsed="false">
      <c r="M242" s="1"/>
      <c r="N242" s="1"/>
      <c r="O242" s="1"/>
      <c r="P242" s="1"/>
      <c r="Q242" s="1"/>
      <c r="R242" s="1"/>
      <c r="S242" s="1"/>
      <c r="T242" s="1"/>
      <c r="U242" s="1"/>
      <c r="V242" s="1"/>
      <c r="W242" s="1"/>
      <c r="X242" s="1"/>
      <c r="Y242" s="1"/>
    </row>
    <row r="243" customFormat="false" ht="15.75" hidden="false" customHeight="true" outlineLevel="0" collapsed="false">
      <c r="M243" s="1"/>
      <c r="N243" s="1"/>
      <c r="O243" s="1"/>
      <c r="P243" s="1"/>
      <c r="Q243" s="1"/>
      <c r="R243" s="1"/>
      <c r="S243" s="1"/>
      <c r="T243" s="1"/>
      <c r="U243" s="1"/>
      <c r="V243" s="1"/>
      <c r="W243" s="1"/>
      <c r="X243" s="1"/>
      <c r="Y243" s="1"/>
    </row>
    <row r="244" customFormat="false" ht="15.75" hidden="false" customHeight="true" outlineLevel="0" collapsed="false">
      <c r="M244" s="1"/>
      <c r="N244" s="1"/>
      <c r="O244" s="1"/>
      <c r="P244" s="1"/>
      <c r="Q244" s="1"/>
      <c r="R244" s="1"/>
      <c r="S244" s="1"/>
      <c r="T244" s="1"/>
      <c r="U244" s="1"/>
      <c r="V244" s="1"/>
      <c r="W244" s="1"/>
      <c r="X244" s="1"/>
      <c r="Y244" s="1"/>
    </row>
    <row r="245" customFormat="false" ht="15.75" hidden="false" customHeight="true" outlineLevel="0" collapsed="false">
      <c r="M245" s="1"/>
      <c r="N245" s="1"/>
      <c r="O245" s="1"/>
      <c r="P245" s="1"/>
      <c r="Q245" s="1"/>
      <c r="R245" s="1"/>
      <c r="S245" s="1"/>
      <c r="T245" s="1"/>
      <c r="U245" s="1"/>
      <c r="V245" s="1"/>
      <c r="W245" s="1"/>
      <c r="X245" s="1"/>
      <c r="Y245" s="1"/>
    </row>
    <row r="246" customFormat="false" ht="15.75" hidden="false" customHeight="true" outlineLevel="0" collapsed="false">
      <c r="M246" s="1"/>
      <c r="N246" s="1"/>
      <c r="O246" s="1"/>
      <c r="P246" s="1"/>
      <c r="Q246" s="1"/>
      <c r="R246" s="1"/>
      <c r="S246" s="1"/>
      <c r="T246" s="1"/>
      <c r="U246" s="1"/>
      <c r="V246" s="1"/>
      <c r="W246" s="1"/>
      <c r="X246" s="1"/>
      <c r="Y246" s="1"/>
    </row>
    <row r="247" customFormat="false" ht="15.75" hidden="false" customHeight="true" outlineLevel="0" collapsed="false">
      <c r="M247" s="1"/>
      <c r="N247" s="1"/>
      <c r="O247" s="1"/>
      <c r="P247" s="1"/>
      <c r="Q247" s="1"/>
      <c r="R247" s="1"/>
      <c r="S247" s="1"/>
      <c r="T247" s="1"/>
      <c r="U247" s="1"/>
      <c r="V247" s="1"/>
      <c r="W247" s="1"/>
      <c r="X247" s="1"/>
      <c r="Y247" s="1"/>
    </row>
    <row r="248" customFormat="false" ht="15.75" hidden="false" customHeight="true" outlineLevel="0" collapsed="false">
      <c r="M248" s="1"/>
      <c r="N248" s="1"/>
      <c r="O248" s="1"/>
      <c r="P248" s="1"/>
      <c r="Q248" s="1"/>
      <c r="R248" s="1"/>
      <c r="S248" s="1"/>
      <c r="T248" s="1"/>
      <c r="U248" s="1"/>
      <c r="V248" s="1"/>
      <c r="W248" s="1"/>
      <c r="X248" s="1"/>
      <c r="Y248" s="1"/>
    </row>
    <row r="249" customFormat="false" ht="15.75" hidden="false" customHeight="true" outlineLevel="0" collapsed="false">
      <c r="M249" s="1"/>
      <c r="N249" s="1"/>
      <c r="O249" s="1"/>
      <c r="P249" s="1"/>
      <c r="Q249" s="1"/>
      <c r="R249" s="1"/>
      <c r="S249" s="1"/>
      <c r="T249" s="1"/>
      <c r="U249" s="1"/>
      <c r="V249" s="1"/>
      <c r="W249" s="1"/>
      <c r="X249" s="1"/>
      <c r="Y249" s="1"/>
    </row>
    <row r="250" customFormat="false" ht="15.75" hidden="false" customHeight="true" outlineLevel="0" collapsed="false">
      <c r="M250" s="1"/>
      <c r="N250" s="1"/>
      <c r="O250" s="1"/>
      <c r="P250" s="1"/>
      <c r="Q250" s="1"/>
      <c r="R250" s="1"/>
      <c r="S250" s="1"/>
      <c r="T250" s="1"/>
      <c r="U250" s="1"/>
      <c r="V250" s="1"/>
      <c r="W250" s="1"/>
      <c r="X250" s="1"/>
      <c r="Y250" s="1"/>
    </row>
    <row r="251" customFormat="false" ht="15.75" hidden="false" customHeight="true" outlineLevel="0" collapsed="false">
      <c r="M251" s="1"/>
      <c r="N251" s="1"/>
      <c r="O251" s="1"/>
      <c r="P251" s="1"/>
      <c r="Q251" s="1"/>
      <c r="R251" s="1"/>
      <c r="S251" s="1"/>
      <c r="T251" s="1"/>
      <c r="U251" s="1"/>
      <c r="V251" s="1"/>
      <c r="W251" s="1"/>
      <c r="X251" s="1"/>
      <c r="Y251" s="1"/>
    </row>
    <row r="252" customFormat="false" ht="15.75" hidden="false" customHeight="true" outlineLevel="0" collapsed="false">
      <c r="M252" s="1"/>
      <c r="N252" s="1"/>
      <c r="O252" s="1"/>
      <c r="P252" s="1"/>
      <c r="Q252" s="1"/>
      <c r="R252" s="1"/>
      <c r="S252" s="1"/>
      <c r="T252" s="1"/>
      <c r="U252" s="1"/>
      <c r="V252" s="1"/>
      <c r="W252" s="1"/>
      <c r="X252" s="1"/>
      <c r="Y252" s="1"/>
    </row>
    <row r="253" customFormat="false" ht="15.75" hidden="false" customHeight="true" outlineLevel="0" collapsed="false">
      <c r="M253" s="1"/>
      <c r="N253" s="1"/>
      <c r="O253" s="1"/>
      <c r="P253" s="1"/>
      <c r="Q253" s="1"/>
      <c r="R253" s="1"/>
      <c r="S253" s="1"/>
      <c r="T253" s="1"/>
      <c r="U253" s="1"/>
      <c r="V253" s="1"/>
      <c r="W253" s="1"/>
      <c r="X253" s="1"/>
      <c r="Y253" s="1"/>
    </row>
    <row r="254" customFormat="false" ht="15.75" hidden="false" customHeight="true" outlineLevel="0" collapsed="false">
      <c r="M254" s="1"/>
      <c r="N254" s="1"/>
      <c r="O254" s="1"/>
      <c r="P254" s="1"/>
      <c r="Q254" s="1"/>
      <c r="R254" s="1"/>
      <c r="S254" s="1"/>
      <c r="T254" s="1"/>
      <c r="U254" s="1"/>
      <c r="V254" s="1"/>
      <c r="W254" s="1"/>
      <c r="X254" s="1"/>
      <c r="Y254" s="1"/>
    </row>
    <row r="255" customFormat="false" ht="15.75" hidden="false" customHeight="true" outlineLevel="0" collapsed="false">
      <c r="M255" s="1"/>
      <c r="N255" s="1"/>
      <c r="O255" s="1"/>
      <c r="P255" s="1"/>
      <c r="Q255" s="1"/>
      <c r="R255" s="1"/>
      <c r="S255" s="1"/>
      <c r="T255" s="1"/>
      <c r="U255" s="1"/>
      <c r="V255" s="1"/>
      <c r="W255" s="1"/>
      <c r="X255" s="1"/>
      <c r="Y255" s="1"/>
    </row>
    <row r="256" customFormat="false" ht="15.75" hidden="false" customHeight="true" outlineLevel="0" collapsed="false">
      <c r="M256" s="1"/>
      <c r="N256" s="1"/>
      <c r="O256" s="1"/>
      <c r="P256" s="1"/>
      <c r="Q256" s="1"/>
      <c r="R256" s="1"/>
      <c r="S256" s="1"/>
      <c r="T256" s="1"/>
      <c r="U256" s="1"/>
      <c r="V256" s="1"/>
      <c r="W256" s="1"/>
      <c r="X256" s="1"/>
      <c r="Y256" s="1"/>
    </row>
    <row r="257" customFormat="false" ht="15.75" hidden="false" customHeight="true" outlineLevel="0" collapsed="false">
      <c r="M257" s="1"/>
      <c r="N257" s="1"/>
      <c r="O257" s="1"/>
      <c r="P257" s="1"/>
      <c r="Q257" s="1"/>
      <c r="R257" s="1"/>
      <c r="S257" s="1"/>
      <c r="T257" s="1"/>
      <c r="U257" s="1"/>
      <c r="V257" s="1"/>
      <c r="W257" s="1"/>
      <c r="X257" s="1"/>
      <c r="Y257" s="1"/>
    </row>
    <row r="258" customFormat="false" ht="15.75" hidden="false" customHeight="true" outlineLevel="0" collapsed="false">
      <c r="M258" s="1"/>
      <c r="N258" s="1"/>
      <c r="O258" s="1"/>
      <c r="P258" s="1"/>
      <c r="Q258" s="1"/>
      <c r="R258" s="1"/>
      <c r="S258" s="1"/>
      <c r="T258" s="1"/>
      <c r="U258" s="1"/>
      <c r="V258" s="1"/>
      <c r="W258" s="1"/>
      <c r="X258" s="1"/>
      <c r="Y258" s="1"/>
    </row>
    <row r="259" customFormat="false" ht="15.75" hidden="false" customHeight="true" outlineLevel="0" collapsed="false">
      <c r="M259" s="1"/>
      <c r="N259" s="1"/>
      <c r="O259" s="1"/>
      <c r="P259" s="1"/>
      <c r="Q259" s="1"/>
      <c r="R259" s="1"/>
      <c r="S259" s="1"/>
      <c r="T259" s="1"/>
      <c r="U259" s="1"/>
      <c r="V259" s="1"/>
      <c r="W259" s="1"/>
      <c r="X259" s="1"/>
      <c r="Y259" s="1"/>
    </row>
    <row r="260" customFormat="false" ht="15.75" hidden="false" customHeight="true" outlineLevel="0" collapsed="false">
      <c r="M260" s="1"/>
      <c r="N260" s="1"/>
      <c r="O260" s="1"/>
      <c r="P260" s="1"/>
      <c r="Q260" s="1"/>
      <c r="R260" s="1"/>
      <c r="S260" s="1"/>
      <c r="T260" s="1"/>
      <c r="U260" s="1"/>
      <c r="V260" s="1"/>
      <c r="W260" s="1"/>
      <c r="X260" s="1"/>
      <c r="Y260" s="1"/>
    </row>
    <row r="261" customFormat="false" ht="15.75" hidden="false" customHeight="true" outlineLevel="0" collapsed="false">
      <c r="M261" s="1"/>
      <c r="N261" s="1"/>
      <c r="O261" s="1"/>
      <c r="P261" s="1"/>
      <c r="Q261" s="1"/>
      <c r="R261" s="1"/>
      <c r="S261" s="1"/>
      <c r="T261" s="1"/>
      <c r="U261" s="1"/>
      <c r="V261" s="1"/>
      <c r="W261" s="1"/>
      <c r="X261" s="1"/>
      <c r="Y261" s="1"/>
    </row>
    <row r="262" customFormat="false" ht="15.75" hidden="false" customHeight="true" outlineLevel="0" collapsed="false">
      <c r="M262" s="1"/>
      <c r="N262" s="1"/>
      <c r="O262" s="1"/>
      <c r="P262" s="1"/>
      <c r="Q262" s="1"/>
      <c r="R262" s="1"/>
      <c r="S262" s="1"/>
      <c r="T262" s="1"/>
      <c r="U262" s="1"/>
      <c r="V262" s="1"/>
      <c r="W262" s="1"/>
      <c r="X262" s="1"/>
      <c r="Y262" s="1"/>
    </row>
    <row r="263" customFormat="false" ht="15.75" hidden="false" customHeight="true" outlineLevel="0" collapsed="false">
      <c r="M263" s="1"/>
      <c r="N263" s="1"/>
      <c r="O263" s="1"/>
      <c r="P263" s="1"/>
      <c r="Q263" s="1"/>
      <c r="R263" s="1"/>
      <c r="S263" s="1"/>
      <c r="T263" s="1"/>
      <c r="U263" s="1"/>
      <c r="V263" s="1"/>
      <c r="W263" s="1"/>
      <c r="X263" s="1"/>
      <c r="Y263" s="1"/>
    </row>
    <row r="264" customFormat="false" ht="15.75" hidden="false" customHeight="true" outlineLevel="0" collapsed="false">
      <c r="M264" s="1"/>
      <c r="N264" s="1"/>
      <c r="O264" s="1"/>
      <c r="P264" s="1"/>
      <c r="Q264" s="1"/>
      <c r="R264" s="1"/>
      <c r="S264" s="1"/>
      <c r="T264" s="1"/>
      <c r="U264" s="1"/>
      <c r="V264" s="1"/>
      <c r="W264" s="1"/>
      <c r="X264" s="1"/>
      <c r="Y264" s="1"/>
    </row>
    <row r="265" customFormat="false" ht="15.75" hidden="false" customHeight="true" outlineLevel="0" collapsed="false">
      <c r="M265" s="1"/>
      <c r="N265" s="1"/>
      <c r="O265" s="1"/>
      <c r="P265" s="1"/>
      <c r="Q265" s="1"/>
      <c r="R265" s="1"/>
      <c r="S265" s="1"/>
      <c r="T265" s="1"/>
      <c r="U265" s="1"/>
      <c r="V265" s="1"/>
      <c r="W265" s="1"/>
      <c r="X265" s="1"/>
      <c r="Y265" s="1"/>
    </row>
    <row r="266" customFormat="false" ht="15.75" hidden="false" customHeight="true" outlineLevel="0" collapsed="false">
      <c r="M266" s="1"/>
      <c r="N266" s="1"/>
      <c r="O266" s="1"/>
      <c r="P266" s="1"/>
      <c r="Q266" s="1"/>
      <c r="R266" s="1"/>
      <c r="S266" s="1"/>
      <c r="T266" s="1"/>
      <c r="U266" s="1"/>
      <c r="V266" s="1"/>
      <c r="W266" s="1"/>
      <c r="X266" s="1"/>
      <c r="Y266" s="1"/>
    </row>
    <row r="267" customFormat="false" ht="15.75" hidden="false" customHeight="true" outlineLevel="0" collapsed="false">
      <c r="M267" s="1"/>
      <c r="N267" s="1"/>
      <c r="O267" s="1"/>
      <c r="P267" s="1"/>
      <c r="Q267" s="1"/>
      <c r="R267" s="1"/>
      <c r="S267" s="1"/>
      <c r="T267" s="1"/>
      <c r="U267" s="1"/>
      <c r="V267" s="1"/>
      <c r="W267" s="1"/>
      <c r="X267" s="1"/>
      <c r="Y267" s="1"/>
    </row>
    <row r="268" customFormat="false" ht="15.75" hidden="false" customHeight="true" outlineLevel="0" collapsed="false">
      <c r="M268" s="1"/>
      <c r="N268" s="1"/>
      <c r="O268" s="1"/>
      <c r="P268" s="1"/>
      <c r="Q268" s="1"/>
      <c r="R268" s="1"/>
      <c r="S268" s="1"/>
      <c r="T268" s="1"/>
      <c r="U268" s="1"/>
      <c r="V268" s="1"/>
      <c r="W268" s="1"/>
      <c r="X268" s="1"/>
      <c r="Y268" s="1"/>
    </row>
    <row r="269" customFormat="false" ht="15.75" hidden="false" customHeight="true" outlineLevel="0" collapsed="false">
      <c r="M269" s="1"/>
      <c r="N269" s="1"/>
      <c r="O269" s="1"/>
      <c r="P269" s="1"/>
      <c r="Q269" s="1"/>
      <c r="R269" s="1"/>
      <c r="S269" s="1"/>
      <c r="T269" s="1"/>
      <c r="U269" s="1"/>
      <c r="V269" s="1"/>
      <c r="W269" s="1"/>
      <c r="X269" s="1"/>
      <c r="Y269" s="1"/>
    </row>
    <row r="270" customFormat="false" ht="15.75" hidden="false" customHeight="true" outlineLevel="0" collapsed="false">
      <c r="M270" s="1"/>
      <c r="N270" s="1"/>
      <c r="O270" s="1"/>
      <c r="P270" s="1"/>
      <c r="Q270" s="1"/>
      <c r="R270" s="1"/>
      <c r="S270" s="1"/>
      <c r="T270" s="1"/>
      <c r="U270" s="1"/>
      <c r="V270" s="1"/>
      <c r="W270" s="1"/>
      <c r="X270" s="1"/>
      <c r="Y270" s="1"/>
    </row>
    <row r="271" customFormat="false" ht="15.75" hidden="false" customHeight="true" outlineLevel="0" collapsed="false">
      <c r="M271" s="1"/>
      <c r="N271" s="1"/>
      <c r="O271" s="1"/>
      <c r="P271" s="1"/>
      <c r="Q271" s="1"/>
      <c r="R271" s="1"/>
      <c r="S271" s="1"/>
      <c r="T271" s="1"/>
      <c r="U271" s="1"/>
      <c r="V271" s="1"/>
      <c r="W271" s="1"/>
      <c r="X271" s="1"/>
      <c r="Y271" s="1"/>
    </row>
    <row r="272" customFormat="false" ht="15.75" hidden="false" customHeight="true" outlineLevel="0" collapsed="false">
      <c r="M272" s="1"/>
      <c r="N272" s="1"/>
      <c r="O272" s="1"/>
      <c r="P272" s="1"/>
      <c r="Q272" s="1"/>
      <c r="R272" s="1"/>
      <c r="S272" s="1"/>
      <c r="T272" s="1"/>
      <c r="U272" s="1"/>
      <c r="V272" s="1"/>
      <c r="W272" s="1"/>
      <c r="X272" s="1"/>
      <c r="Y272" s="1"/>
    </row>
    <row r="273" customFormat="false" ht="15.75" hidden="false" customHeight="true" outlineLevel="0" collapsed="false">
      <c r="M273" s="1"/>
      <c r="N273" s="1"/>
      <c r="O273" s="1"/>
      <c r="P273" s="1"/>
      <c r="Q273" s="1"/>
      <c r="R273" s="1"/>
      <c r="S273" s="1"/>
      <c r="T273" s="1"/>
      <c r="U273" s="1"/>
      <c r="V273" s="1"/>
      <c r="W273" s="1"/>
      <c r="X273" s="1"/>
      <c r="Y273" s="1"/>
    </row>
    <row r="274" customFormat="false" ht="15.75" hidden="false" customHeight="true" outlineLevel="0" collapsed="false">
      <c r="M274" s="1"/>
      <c r="N274" s="1"/>
      <c r="O274" s="1"/>
      <c r="P274" s="1"/>
      <c r="Q274" s="1"/>
      <c r="R274" s="1"/>
      <c r="S274" s="1"/>
      <c r="T274" s="1"/>
      <c r="U274" s="1"/>
      <c r="V274" s="1"/>
      <c r="W274" s="1"/>
      <c r="X274" s="1"/>
      <c r="Y274" s="1"/>
    </row>
    <row r="275" customFormat="false" ht="15.75" hidden="false" customHeight="true" outlineLevel="0" collapsed="false">
      <c r="M275" s="1"/>
      <c r="N275" s="1"/>
      <c r="O275" s="1"/>
      <c r="P275" s="1"/>
      <c r="Q275" s="1"/>
      <c r="R275" s="1"/>
      <c r="S275" s="1"/>
      <c r="T275" s="1"/>
      <c r="U275" s="1"/>
      <c r="V275" s="1"/>
      <c r="W275" s="1"/>
      <c r="X275" s="1"/>
      <c r="Y275" s="1"/>
    </row>
    <row r="276" customFormat="false" ht="15.75" hidden="false" customHeight="true" outlineLevel="0" collapsed="false">
      <c r="M276" s="1"/>
      <c r="N276" s="1"/>
      <c r="O276" s="1"/>
      <c r="P276" s="1"/>
      <c r="Q276" s="1"/>
      <c r="R276" s="1"/>
      <c r="S276" s="1"/>
      <c r="T276" s="1"/>
      <c r="U276" s="1"/>
      <c r="V276" s="1"/>
      <c r="W276" s="1"/>
      <c r="X276" s="1"/>
      <c r="Y276" s="1"/>
    </row>
    <row r="277" customFormat="false" ht="15.75" hidden="false" customHeight="true" outlineLevel="0" collapsed="false">
      <c r="M277" s="1"/>
      <c r="N277" s="1"/>
      <c r="O277" s="1"/>
      <c r="P277" s="1"/>
      <c r="Q277" s="1"/>
      <c r="R277" s="1"/>
      <c r="S277" s="1"/>
      <c r="T277" s="1"/>
      <c r="U277" s="1"/>
      <c r="V277" s="1"/>
      <c r="W277" s="1"/>
      <c r="X277" s="1"/>
      <c r="Y277" s="1"/>
    </row>
    <row r="278" customFormat="false" ht="15.75" hidden="false" customHeight="true" outlineLevel="0" collapsed="false">
      <c r="M278" s="1"/>
      <c r="N278" s="1"/>
      <c r="O278" s="1"/>
      <c r="P278" s="1"/>
      <c r="Q278" s="1"/>
      <c r="R278" s="1"/>
      <c r="S278" s="1"/>
      <c r="T278" s="1"/>
      <c r="U278" s="1"/>
      <c r="V278" s="1"/>
      <c r="W278" s="1"/>
      <c r="X278" s="1"/>
      <c r="Y278" s="1"/>
    </row>
    <row r="279" customFormat="false" ht="15.75" hidden="false" customHeight="true" outlineLevel="0" collapsed="false">
      <c r="M279" s="1"/>
      <c r="N279" s="1"/>
      <c r="O279" s="1"/>
      <c r="P279" s="1"/>
      <c r="Q279" s="1"/>
      <c r="R279" s="1"/>
      <c r="S279" s="1"/>
      <c r="T279" s="1"/>
      <c r="U279" s="1"/>
      <c r="V279" s="1"/>
      <c r="W279" s="1"/>
      <c r="X279" s="1"/>
      <c r="Y279" s="1"/>
    </row>
    <row r="280" customFormat="false" ht="15.75" hidden="false" customHeight="true" outlineLevel="0" collapsed="false">
      <c r="M280" s="1"/>
      <c r="N280" s="1"/>
      <c r="O280" s="1"/>
      <c r="P280" s="1"/>
      <c r="Q280" s="1"/>
      <c r="R280" s="1"/>
      <c r="S280" s="1"/>
      <c r="T280" s="1"/>
      <c r="U280" s="1"/>
      <c r="V280" s="1"/>
      <c r="W280" s="1"/>
      <c r="X280" s="1"/>
      <c r="Y280" s="1"/>
    </row>
    <row r="281" customFormat="false" ht="15.75" hidden="false" customHeight="true" outlineLevel="0" collapsed="false">
      <c r="M281" s="1"/>
      <c r="N281" s="1"/>
      <c r="O281" s="1"/>
      <c r="P281" s="1"/>
      <c r="Q281" s="1"/>
      <c r="R281" s="1"/>
      <c r="S281" s="1"/>
      <c r="T281" s="1"/>
      <c r="U281" s="1"/>
      <c r="V281" s="1"/>
      <c r="W281" s="1"/>
      <c r="X281" s="1"/>
      <c r="Y281" s="1"/>
    </row>
    <row r="282" customFormat="false" ht="15.75" hidden="false" customHeight="true" outlineLevel="0" collapsed="false">
      <c r="M282" s="1"/>
      <c r="N282" s="1"/>
      <c r="O282" s="1"/>
      <c r="P282" s="1"/>
      <c r="Q282" s="1"/>
      <c r="R282" s="1"/>
      <c r="S282" s="1"/>
      <c r="T282" s="1"/>
      <c r="U282" s="1"/>
      <c r="V282" s="1"/>
      <c r="W282" s="1"/>
      <c r="X282" s="1"/>
      <c r="Y282" s="1"/>
    </row>
    <row r="283" customFormat="false" ht="15.75" hidden="false" customHeight="true" outlineLevel="0" collapsed="false">
      <c r="M283" s="1"/>
      <c r="N283" s="1"/>
      <c r="O283" s="1"/>
      <c r="P283" s="1"/>
      <c r="Q283" s="1"/>
      <c r="R283" s="1"/>
      <c r="S283" s="1"/>
      <c r="T283" s="1"/>
      <c r="U283" s="1"/>
      <c r="V283" s="1"/>
      <c r="W283" s="1"/>
      <c r="X283" s="1"/>
      <c r="Y283" s="1"/>
    </row>
    <row r="284" customFormat="false" ht="15.75" hidden="false" customHeight="true" outlineLevel="0" collapsed="false">
      <c r="M284" s="1"/>
      <c r="N284" s="1"/>
      <c r="O284" s="1"/>
      <c r="P284" s="1"/>
      <c r="Q284" s="1"/>
      <c r="R284" s="1"/>
      <c r="S284" s="1"/>
      <c r="T284" s="1"/>
      <c r="U284" s="1"/>
      <c r="V284" s="1"/>
      <c r="W284" s="1"/>
      <c r="X284" s="1"/>
      <c r="Y284" s="1"/>
    </row>
    <row r="285" customFormat="false" ht="15.75" hidden="false" customHeight="true" outlineLevel="0" collapsed="false">
      <c r="M285" s="1"/>
      <c r="N285" s="1"/>
      <c r="O285" s="1"/>
      <c r="P285" s="1"/>
      <c r="Q285" s="1"/>
      <c r="R285" s="1"/>
      <c r="S285" s="1"/>
      <c r="T285" s="1"/>
      <c r="U285" s="1"/>
      <c r="V285" s="1"/>
      <c r="W285" s="1"/>
      <c r="X285" s="1"/>
      <c r="Y285" s="1"/>
    </row>
    <row r="286" customFormat="false" ht="15.75" hidden="false" customHeight="true" outlineLevel="0" collapsed="false">
      <c r="M286" s="1"/>
      <c r="N286" s="1"/>
      <c r="O286" s="1"/>
      <c r="P286" s="1"/>
      <c r="Q286" s="1"/>
      <c r="R286" s="1"/>
      <c r="S286" s="1"/>
      <c r="T286" s="1"/>
      <c r="U286" s="1"/>
      <c r="V286" s="1"/>
      <c r="W286" s="1"/>
      <c r="X286" s="1"/>
      <c r="Y286" s="1"/>
    </row>
    <row r="287" customFormat="false" ht="15.75" hidden="false" customHeight="true" outlineLevel="0" collapsed="false">
      <c r="M287" s="1"/>
      <c r="N287" s="1"/>
      <c r="O287" s="1"/>
      <c r="P287" s="1"/>
      <c r="Q287" s="1"/>
      <c r="R287" s="1"/>
      <c r="S287" s="1"/>
      <c r="T287" s="1"/>
      <c r="U287" s="1"/>
      <c r="V287" s="1"/>
      <c r="W287" s="1"/>
      <c r="X287" s="1"/>
      <c r="Y287" s="1"/>
    </row>
    <row r="288" customFormat="false" ht="15.75" hidden="false" customHeight="true" outlineLevel="0" collapsed="false">
      <c r="M288" s="1"/>
      <c r="N288" s="1"/>
      <c r="O288" s="1"/>
      <c r="P288" s="1"/>
      <c r="Q288" s="1"/>
      <c r="R288" s="1"/>
      <c r="S288" s="1"/>
      <c r="T288" s="1"/>
      <c r="U288" s="1"/>
      <c r="V288" s="1"/>
      <c r="W288" s="1"/>
      <c r="X288" s="1"/>
      <c r="Y288" s="1"/>
    </row>
    <row r="289" customFormat="false" ht="15.75" hidden="false" customHeight="true" outlineLevel="0" collapsed="false">
      <c r="M289" s="1"/>
      <c r="N289" s="1"/>
      <c r="O289" s="1"/>
      <c r="P289" s="1"/>
      <c r="Q289" s="1"/>
      <c r="R289" s="1"/>
      <c r="S289" s="1"/>
      <c r="T289" s="1"/>
      <c r="U289" s="1"/>
      <c r="V289" s="1"/>
      <c r="W289" s="1"/>
      <c r="X289" s="1"/>
      <c r="Y289" s="1"/>
    </row>
    <row r="290" customFormat="false" ht="15.75" hidden="false" customHeight="true" outlineLevel="0" collapsed="false">
      <c r="M290" s="1"/>
      <c r="N290" s="1"/>
      <c r="O290" s="1"/>
      <c r="P290" s="1"/>
      <c r="Q290" s="1"/>
      <c r="R290" s="1"/>
      <c r="S290" s="1"/>
      <c r="T290" s="1"/>
      <c r="U290" s="1"/>
      <c r="V290" s="1"/>
      <c r="W290" s="1"/>
      <c r="X290" s="1"/>
      <c r="Y290" s="1"/>
    </row>
    <row r="291" customFormat="false" ht="15.75" hidden="false" customHeight="true" outlineLevel="0" collapsed="false">
      <c r="M291" s="1"/>
      <c r="N291" s="1"/>
      <c r="O291" s="1"/>
      <c r="P291" s="1"/>
      <c r="Q291" s="1"/>
      <c r="R291" s="1"/>
      <c r="S291" s="1"/>
      <c r="T291" s="1"/>
      <c r="U291" s="1"/>
      <c r="V291" s="1"/>
      <c r="W291" s="1"/>
      <c r="X291" s="1"/>
      <c r="Y291" s="1"/>
    </row>
    <row r="292" customFormat="false" ht="15.75" hidden="false" customHeight="true" outlineLevel="0" collapsed="false">
      <c r="M292" s="1"/>
      <c r="N292" s="1"/>
      <c r="O292" s="1"/>
      <c r="P292" s="1"/>
      <c r="Q292" s="1"/>
      <c r="R292" s="1"/>
      <c r="S292" s="1"/>
      <c r="T292" s="1"/>
      <c r="U292" s="1"/>
      <c r="V292" s="1"/>
      <c r="W292" s="1"/>
      <c r="X292" s="1"/>
      <c r="Y292" s="1"/>
    </row>
    <row r="293" customFormat="false" ht="15.75" hidden="false" customHeight="true" outlineLevel="0" collapsed="false">
      <c r="M293" s="1"/>
      <c r="N293" s="1"/>
      <c r="O293" s="1"/>
      <c r="P293" s="1"/>
      <c r="Q293" s="1"/>
      <c r="R293" s="1"/>
      <c r="S293" s="1"/>
      <c r="T293" s="1"/>
      <c r="U293" s="1"/>
      <c r="V293" s="1"/>
      <c r="W293" s="1"/>
      <c r="X293" s="1"/>
      <c r="Y293" s="1"/>
    </row>
    <row r="294" customFormat="false" ht="15.75" hidden="false" customHeight="true" outlineLevel="0" collapsed="false">
      <c r="M294" s="1"/>
      <c r="N294" s="1"/>
      <c r="O294" s="1"/>
      <c r="P294" s="1"/>
      <c r="Q294" s="1"/>
      <c r="R294" s="1"/>
      <c r="S294" s="1"/>
      <c r="T294" s="1"/>
      <c r="U294" s="1"/>
      <c r="V294" s="1"/>
      <c r="W294" s="1"/>
      <c r="X294" s="1"/>
      <c r="Y294" s="1"/>
    </row>
    <row r="295" customFormat="false" ht="15.75" hidden="false" customHeight="true" outlineLevel="0" collapsed="false">
      <c r="M295" s="1"/>
      <c r="N295" s="1"/>
      <c r="O295" s="1"/>
      <c r="P295" s="1"/>
      <c r="Q295" s="1"/>
      <c r="R295" s="1"/>
      <c r="S295" s="1"/>
      <c r="T295" s="1"/>
      <c r="U295" s="1"/>
      <c r="V295" s="1"/>
      <c r="W295" s="1"/>
      <c r="X295" s="1"/>
      <c r="Y295" s="1"/>
    </row>
    <row r="296" customFormat="false" ht="15.75" hidden="false" customHeight="true" outlineLevel="0" collapsed="false">
      <c r="M296" s="1"/>
      <c r="N296" s="1"/>
      <c r="O296" s="1"/>
      <c r="P296" s="1"/>
      <c r="Q296" s="1"/>
      <c r="R296" s="1"/>
      <c r="S296" s="1"/>
      <c r="T296" s="1"/>
      <c r="U296" s="1"/>
      <c r="V296" s="1"/>
      <c r="W296" s="1"/>
      <c r="X296" s="1"/>
      <c r="Y296" s="1"/>
    </row>
    <row r="297" customFormat="false" ht="15.75" hidden="false" customHeight="true" outlineLevel="0" collapsed="false">
      <c r="M297" s="1"/>
      <c r="N297" s="1"/>
      <c r="O297" s="1"/>
      <c r="P297" s="1"/>
      <c r="Q297" s="1"/>
      <c r="R297" s="1"/>
      <c r="S297" s="1"/>
      <c r="T297" s="1"/>
      <c r="U297" s="1"/>
      <c r="V297" s="1"/>
      <c r="W297" s="1"/>
      <c r="X297" s="1"/>
      <c r="Y297" s="1"/>
    </row>
    <row r="298" customFormat="false" ht="15.75" hidden="false" customHeight="true" outlineLevel="0" collapsed="false">
      <c r="M298" s="1"/>
      <c r="N298" s="1"/>
      <c r="O298" s="1"/>
      <c r="P298" s="1"/>
      <c r="Q298" s="1"/>
      <c r="R298" s="1"/>
      <c r="S298" s="1"/>
      <c r="T298" s="1"/>
      <c r="U298" s="1"/>
      <c r="V298" s="1"/>
      <c r="W298" s="1"/>
      <c r="X298" s="1"/>
      <c r="Y298" s="1"/>
    </row>
    <row r="299" customFormat="false" ht="15.75" hidden="false" customHeight="true" outlineLevel="0" collapsed="false">
      <c r="M299" s="1"/>
      <c r="N299" s="1"/>
      <c r="O299" s="1"/>
      <c r="P299" s="1"/>
      <c r="Q299" s="1"/>
      <c r="R299" s="1"/>
      <c r="S299" s="1"/>
      <c r="T299" s="1"/>
      <c r="U299" s="1"/>
      <c r="V299" s="1"/>
      <c r="W299" s="1"/>
      <c r="X299" s="1"/>
      <c r="Y299" s="1"/>
    </row>
    <row r="300" customFormat="false" ht="15.75" hidden="false" customHeight="true" outlineLevel="0" collapsed="false">
      <c r="M300" s="1"/>
      <c r="N300" s="1"/>
      <c r="O300" s="1"/>
      <c r="P300" s="1"/>
      <c r="Q300" s="1"/>
      <c r="R300" s="1"/>
      <c r="S300" s="1"/>
      <c r="T300" s="1"/>
      <c r="U300" s="1"/>
      <c r="V300" s="1"/>
      <c r="W300" s="1"/>
      <c r="X300" s="1"/>
      <c r="Y300" s="1"/>
    </row>
    <row r="301" customFormat="false" ht="15.75" hidden="false" customHeight="true" outlineLevel="0" collapsed="false">
      <c r="M301" s="1"/>
      <c r="N301" s="1"/>
      <c r="O301" s="1"/>
      <c r="P301" s="1"/>
      <c r="Q301" s="1"/>
      <c r="R301" s="1"/>
      <c r="S301" s="1"/>
      <c r="T301" s="1"/>
      <c r="U301" s="1"/>
      <c r="V301" s="1"/>
      <c r="W301" s="1"/>
      <c r="X301" s="1"/>
      <c r="Y301" s="1"/>
    </row>
    <row r="302" customFormat="false" ht="15.75" hidden="false" customHeight="true" outlineLevel="0" collapsed="false">
      <c r="M302" s="1"/>
      <c r="N302" s="1"/>
      <c r="O302" s="1"/>
      <c r="P302" s="1"/>
      <c r="Q302" s="1"/>
      <c r="R302" s="1"/>
      <c r="S302" s="1"/>
      <c r="T302" s="1"/>
      <c r="U302" s="1"/>
      <c r="V302" s="1"/>
      <c r="W302" s="1"/>
      <c r="X302" s="1"/>
      <c r="Y302" s="1"/>
    </row>
    <row r="303" customFormat="false" ht="15.75" hidden="false" customHeight="true" outlineLevel="0" collapsed="false">
      <c r="M303" s="1"/>
      <c r="N303" s="1"/>
      <c r="O303" s="1"/>
      <c r="P303" s="1"/>
      <c r="Q303" s="1"/>
      <c r="R303" s="1"/>
      <c r="S303" s="1"/>
      <c r="T303" s="1"/>
      <c r="U303" s="1"/>
      <c r="V303" s="1"/>
      <c r="W303" s="1"/>
      <c r="X303" s="1"/>
      <c r="Y303" s="1"/>
    </row>
    <row r="304" customFormat="false" ht="15.75" hidden="false" customHeight="true" outlineLevel="0" collapsed="false">
      <c r="M304" s="1"/>
      <c r="N304" s="1"/>
      <c r="O304" s="1"/>
      <c r="P304" s="1"/>
      <c r="Q304" s="1"/>
      <c r="R304" s="1"/>
      <c r="S304" s="1"/>
      <c r="T304" s="1"/>
      <c r="U304" s="1"/>
      <c r="V304" s="1"/>
      <c r="W304" s="1"/>
      <c r="X304" s="1"/>
      <c r="Y304" s="1"/>
    </row>
    <row r="305" customFormat="false" ht="15.75" hidden="false" customHeight="true" outlineLevel="0" collapsed="false">
      <c r="M305" s="1"/>
      <c r="N305" s="1"/>
      <c r="O305" s="1"/>
      <c r="P305" s="1"/>
      <c r="Q305" s="1"/>
      <c r="R305" s="1"/>
      <c r="S305" s="1"/>
      <c r="T305" s="1"/>
      <c r="U305" s="1"/>
      <c r="V305" s="1"/>
      <c r="W305" s="1"/>
      <c r="X305" s="1"/>
      <c r="Y305" s="1"/>
    </row>
    <row r="306" customFormat="false" ht="15.75" hidden="false" customHeight="true" outlineLevel="0" collapsed="false">
      <c r="M306" s="1"/>
      <c r="N306" s="1"/>
      <c r="O306" s="1"/>
      <c r="P306" s="1"/>
      <c r="Q306" s="1"/>
      <c r="R306" s="1"/>
      <c r="S306" s="1"/>
      <c r="T306" s="1"/>
      <c r="U306" s="1"/>
      <c r="V306" s="1"/>
      <c r="W306" s="1"/>
      <c r="X306" s="1"/>
      <c r="Y306" s="1"/>
    </row>
    <row r="307" customFormat="false" ht="15.75" hidden="false" customHeight="true" outlineLevel="0" collapsed="false">
      <c r="M307" s="1"/>
      <c r="N307" s="1"/>
      <c r="O307" s="1"/>
      <c r="P307" s="1"/>
      <c r="Q307" s="1"/>
      <c r="R307" s="1"/>
      <c r="S307" s="1"/>
      <c r="T307" s="1"/>
      <c r="U307" s="1"/>
      <c r="V307" s="1"/>
      <c r="W307" s="1"/>
      <c r="X307" s="1"/>
      <c r="Y307" s="1"/>
    </row>
    <row r="308" customFormat="false" ht="15.75" hidden="false" customHeight="true" outlineLevel="0" collapsed="false">
      <c r="M308" s="1"/>
      <c r="N308" s="1"/>
      <c r="O308" s="1"/>
      <c r="P308" s="1"/>
      <c r="Q308" s="1"/>
      <c r="R308" s="1"/>
      <c r="S308" s="1"/>
      <c r="T308" s="1"/>
      <c r="U308" s="1"/>
      <c r="V308" s="1"/>
      <c r="W308" s="1"/>
      <c r="X308" s="1"/>
      <c r="Y308" s="1"/>
    </row>
    <row r="309" customFormat="false" ht="15.75" hidden="false" customHeight="true" outlineLevel="0" collapsed="false">
      <c r="M309" s="1"/>
      <c r="N309" s="1"/>
      <c r="O309" s="1"/>
      <c r="P309" s="1"/>
      <c r="Q309" s="1"/>
      <c r="R309" s="1"/>
      <c r="S309" s="1"/>
      <c r="T309" s="1"/>
      <c r="U309" s="1"/>
      <c r="V309" s="1"/>
      <c r="W309" s="1"/>
      <c r="X309" s="1"/>
      <c r="Y309" s="1"/>
    </row>
    <row r="310" customFormat="false" ht="15.75" hidden="false" customHeight="true" outlineLevel="0" collapsed="false">
      <c r="M310" s="1"/>
      <c r="N310" s="1"/>
      <c r="O310" s="1"/>
      <c r="P310" s="1"/>
      <c r="Q310" s="1"/>
      <c r="R310" s="1"/>
      <c r="S310" s="1"/>
      <c r="T310" s="1"/>
      <c r="U310" s="1"/>
      <c r="V310" s="1"/>
      <c r="W310" s="1"/>
      <c r="X310" s="1"/>
      <c r="Y310" s="1"/>
    </row>
    <row r="311" customFormat="false" ht="15.75" hidden="false" customHeight="true" outlineLevel="0" collapsed="false">
      <c r="M311" s="1"/>
      <c r="N311" s="1"/>
      <c r="O311" s="1"/>
      <c r="P311" s="1"/>
      <c r="Q311" s="1"/>
      <c r="R311" s="1"/>
      <c r="S311" s="1"/>
      <c r="T311" s="1"/>
      <c r="U311" s="1"/>
      <c r="V311" s="1"/>
      <c r="W311" s="1"/>
      <c r="X311" s="1"/>
      <c r="Y311" s="1"/>
    </row>
    <row r="312" customFormat="false" ht="15.75" hidden="false" customHeight="true" outlineLevel="0" collapsed="false">
      <c r="M312" s="1"/>
      <c r="N312" s="1"/>
      <c r="O312" s="1"/>
      <c r="P312" s="1"/>
      <c r="Q312" s="1"/>
      <c r="R312" s="1"/>
      <c r="S312" s="1"/>
      <c r="T312" s="1"/>
      <c r="U312" s="1"/>
      <c r="V312" s="1"/>
      <c r="W312" s="1"/>
      <c r="X312" s="1"/>
      <c r="Y312" s="1"/>
    </row>
    <row r="313" customFormat="false" ht="15.75" hidden="false" customHeight="true" outlineLevel="0" collapsed="false">
      <c r="M313" s="1"/>
      <c r="N313" s="1"/>
      <c r="O313" s="1"/>
      <c r="P313" s="1"/>
      <c r="Q313" s="1"/>
      <c r="R313" s="1"/>
      <c r="S313" s="1"/>
      <c r="T313" s="1"/>
      <c r="U313" s="1"/>
      <c r="V313" s="1"/>
      <c r="W313" s="1"/>
      <c r="X313" s="1"/>
      <c r="Y313" s="1"/>
    </row>
    <row r="314" customFormat="false" ht="15.75" hidden="false" customHeight="true" outlineLevel="0" collapsed="false">
      <c r="M314" s="1"/>
      <c r="N314" s="1"/>
      <c r="O314" s="1"/>
      <c r="P314" s="1"/>
      <c r="Q314" s="1"/>
      <c r="R314" s="1"/>
      <c r="S314" s="1"/>
      <c r="T314" s="1"/>
      <c r="U314" s="1"/>
      <c r="V314" s="1"/>
      <c r="W314" s="1"/>
      <c r="X314" s="1"/>
      <c r="Y314" s="1"/>
    </row>
    <row r="315" customFormat="false" ht="15.75" hidden="false" customHeight="true" outlineLevel="0" collapsed="false">
      <c r="M315" s="1"/>
      <c r="N315" s="1"/>
      <c r="O315" s="1"/>
      <c r="P315" s="1"/>
      <c r="Q315" s="1"/>
      <c r="R315" s="1"/>
      <c r="S315" s="1"/>
      <c r="T315" s="1"/>
      <c r="U315" s="1"/>
      <c r="V315" s="1"/>
      <c r="W315" s="1"/>
      <c r="X315" s="1"/>
      <c r="Y315" s="1"/>
    </row>
    <row r="316" customFormat="false" ht="15.75" hidden="false" customHeight="true" outlineLevel="0" collapsed="false">
      <c r="M316" s="1"/>
      <c r="N316" s="1"/>
      <c r="O316" s="1"/>
      <c r="P316" s="1"/>
      <c r="Q316" s="1"/>
      <c r="R316" s="1"/>
      <c r="S316" s="1"/>
      <c r="T316" s="1"/>
      <c r="U316" s="1"/>
      <c r="V316" s="1"/>
      <c r="W316" s="1"/>
      <c r="X316" s="1"/>
      <c r="Y316" s="1"/>
    </row>
    <row r="317" customFormat="false" ht="15.75" hidden="false" customHeight="true" outlineLevel="0" collapsed="false">
      <c r="M317" s="1"/>
      <c r="N317" s="1"/>
      <c r="O317" s="1"/>
      <c r="P317" s="1"/>
      <c r="Q317" s="1"/>
      <c r="R317" s="1"/>
      <c r="S317" s="1"/>
      <c r="T317" s="1"/>
      <c r="U317" s="1"/>
      <c r="V317" s="1"/>
      <c r="W317" s="1"/>
      <c r="X317" s="1"/>
      <c r="Y317" s="1"/>
    </row>
    <row r="318" customFormat="false" ht="15.75" hidden="false" customHeight="true" outlineLevel="0" collapsed="false">
      <c r="M318" s="1"/>
      <c r="N318" s="1"/>
      <c r="O318" s="1"/>
      <c r="P318" s="1"/>
      <c r="Q318" s="1"/>
      <c r="R318" s="1"/>
      <c r="S318" s="1"/>
      <c r="T318" s="1"/>
      <c r="U318" s="1"/>
      <c r="V318" s="1"/>
      <c r="W318" s="1"/>
      <c r="X318" s="1"/>
      <c r="Y318" s="1"/>
    </row>
    <row r="319" customFormat="false" ht="15.75" hidden="false" customHeight="true" outlineLevel="0" collapsed="false">
      <c r="M319" s="1"/>
      <c r="N319" s="1"/>
      <c r="O319" s="1"/>
      <c r="P319" s="1"/>
      <c r="Q319" s="1"/>
      <c r="R319" s="1"/>
      <c r="S319" s="1"/>
      <c r="T319" s="1"/>
      <c r="U319" s="1"/>
      <c r="V319" s="1"/>
      <c r="W319" s="1"/>
      <c r="X319" s="1"/>
      <c r="Y319" s="1"/>
    </row>
    <row r="320" customFormat="false" ht="15.75" hidden="false" customHeight="true" outlineLevel="0" collapsed="false">
      <c r="M320" s="1"/>
      <c r="N320" s="1"/>
      <c r="O320" s="1"/>
      <c r="P320" s="1"/>
      <c r="Q320" s="1"/>
      <c r="R320" s="1"/>
      <c r="S320" s="1"/>
      <c r="T320" s="1"/>
      <c r="U320" s="1"/>
      <c r="V320" s="1"/>
      <c r="W320" s="1"/>
      <c r="X320" s="1"/>
      <c r="Y320" s="1"/>
    </row>
    <row r="321" customFormat="false" ht="15.75" hidden="false" customHeight="true" outlineLevel="0" collapsed="false">
      <c r="M321" s="1"/>
      <c r="N321" s="1"/>
      <c r="O321" s="1"/>
      <c r="P321" s="1"/>
      <c r="Q321" s="1"/>
      <c r="R321" s="1"/>
      <c r="S321" s="1"/>
      <c r="T321" s="1"/>
      <c r="U321" s="1"/>
      <c r="V321" s="1"/>
      <c r="W321" s="1"/>
      <c r="X321" s="1"/>
      <c r="Y321" s="1"/>
    </row>
    <row r="322" customFormat="false" ht="15.75" hidden="false" customHeight="true" outlineLevel="0" collapsed="false">
      <c r="M322" s="1"/>
      <c r="N322" s="1"/>
      <c r="O322" s="1"/>
      <c r="P322" s="1"/>
      <c r="Q322" s="1"/>
      <c r="R322" s="1"/>
      <c r="S322" s="1"/>
      <c r="T322" s="1"/>
      <c r="U322" s="1"/>
      <c r="V322" s="1"/>
      <c r="W322" s="1"/>
      <c r="X322" s="1"/>
      <c r="Y322" s="1"/>
    </row>
    <row r="323" customFormat="false" ht="15.75" hidden="false" customHeight="true" outlineLevel="0" collapsed="false">
      <c r="M323" s="1"/>
      <c r="N323" s="1"/>
      <c r="O323" s="1"/>
      <c r="P323" s="1"/>
      <c r="Q323" s="1"/>
      <c r="R323" s="1"/>
      <c r="S323" s="1"/>
      <c r="T323" s="1"/>
      <c r="U323" s="1"/>
      <c r="V323" s="1"/>
      <c r="W323" s="1"/>
      <c r="X323" s="1"/>
      <c r="Y323" s="1"/>
    </row>
    <row r="324" customFormat="false" ht="15.75" hidden="false" customHeight="true" outlineLevel="0" collapsed="false">
      <c r="M324" s="1"/>
      <c r="N324" s="1"/>
      <c r="O324" s="1"/>
      <c r="P324" s="1"/>
      <c r="Q324" s="1"/>
      <c r="R324" s="1"/>
      <c r="S324" s="1"/>
      <c r="T324" s="1"/>
      <c r="U324" s="1"/>
      <c r="V324" s="1"/>
      <c r="W324" s="1"/>
      <c r="X324" s="1"/>
      <c r="Y324" s="1"/>
    </row>
    <row r="325" customFormat="false" ht="15.75" hidden="false" customHeight="true" outlineLevel="0" collapsed="false">
      <c r="M325" s="1"/>
      <c r="N325" s="1"/>
      <c r="O325" s="1"/>
      <c r="P325" s="1"/>
      <c r="Q325" s="1"/>
      <c r="R325" s="1"/>
      <c r="S325" s="1"/>
      <c r="T325" s="1"/>
      <c r="U325" s="1"/>
      <c r="V325" s="1"/>
      <c r="W325" s="1"/>
      <c r="X325" s="1"/>
      <c r="Y325" s="1"/>
    </row>
    <row r="326" customFormat="false" ht="15.75" hidden="false" customHeight="true" outlineLevel="0" collapsed="false">
      <c r="M326" s="1"/>
      <c r="N326" s="1"/>
      <c r="O326" s="1"/>
      <c r="P326" s="1"/>
      <c r="Q326" s="1"/>
      <c r="R326" s="1"/>
      <c r="S326" s="1"/>
      <c r="T326" s="1"/>
      <c r="U326" s="1"/>
      <c r="V326" s="1"/>
      <c r="W326" s="1"/>
      <c r="X326" s="1"/>
      <c r="Y326" s="1"/>
    </row>
    <row r="327" customFormat="false" ht="15.75" hidden="false" customHeight="true" outlineLevel="0" collapsed="false">
      <c r="M327" s="1"/>
      <c r="N327" s="1"/>
      <c r="O327" s="1"/>
      <c r="P327" s="1"/>
      <c r="Q327" s="1"/>
      <c r="R327" s="1"/>
      <c r="S327" s="1"/>
      <c r="T327" s="1"/>
      <c r="U327" s="1"/>
      <c r="V327" s="1"/>
      <c r="W327" s="1"/>
      <c r="X327" s="1"/>
      <c r="Y327" s="1"/>
    </row>
    <row r="328" customFormat="false" ht="15.75" hidden="false" customHeight="true" outlineLevel="0" collapsed="false">
      <c r="M328" s="1"/>
      <c r="N328" s="1"/>
      <c r="O328" s="1"/>
      <c r="P328" s="1"/>
      <c r="Q328" s="1"/>
      <c r="R328" s="1"/>
      <c r="S328" s="1"/>
      <c r="T328" s="1"/>
      <c r="U328" s="1"/>
      <c r="V328" s="1"/>
      <c r="W328" s="1"/>
      <c r="X328" s="1"/>
      <c r="Y328" s="1"/>
    </row>
    <row r="329" customFormat="false" ht="15.75" hidden="false" customHeight="true" outlineLevel="0" collapsed="false">
      <c r="M329" s="1"/>
      <c r="N329" s="1"/>
      <c r="O329" s="1"/>
      <c r="P329" s="1"/>
      <c r="Q329" s="1"/>
      <c r="R329" s="1"/>
      <c r="S329" s="1"/>
      <c r="T329" s="1"/>
      <c r="U329" s="1"/>
      <c r="V329" s="1"/>
      <c r="W329" s="1"/>
      <c r="X329" s="1"/>
      <c r="Y329" s="1"/>
    </row>
    <row r="330" customFormat="false" ht="15.75" hidden="false" customHeight="true" outlineLevel="0" collapsed="false">
      <c r="M330" s="1"/>
      <c r="N330" s="1"/>
      <c r="O330" s="1"/>
      <c r="P330" s="1"/>
      <c r="Q330" s="1"/>
      <c r="R330" s="1"/>
      <c r="S330" s="1"/>
      <c r="T330" s="1"/>
      <c r="U330" s="1"/>
      <c r="V330" s="1"/>
      <c r="W330" s="1"/>
      <c r="X330" s="1"/>
      <c r="Y330" s="1"/>
    </row>
    <row r="331" customFormat="false" ht="15.75" hidden="false" customHeight="true" outlineLevel="0" collapsed="false">
      <c r="M331" s="1"/>
      <c r="N331" s="1"/>
      <c r="O331" s="1"/>
      <c r="P331" s="1"/>
      <c r="Q331" s="1"/>
      <c r="R331" s="1"/>
      <c r="S331" s="1"/>
      <c r="T331" s="1"/>
      <c r="U331" s="1"/>
      <c r="V331" s="1"/>
      <c r="W331" s="1"/>
      <c r="X331" s="1"/>
      <c r="Y331" s="1"/>
    </row>
    <row r="332" customFormat="false" ht="15.75" hidden="false" customHeight="true" outlineLevel="0" collapsed="false">
      <c r="M332" s="1"/>
      <c r="N332" s="1"/>
      <c r="O332" s="1"/>
      <c r="P332" s="1"/>
      <c r="Q332" s="1"/>
      <c r="R332" s="1"/>
      <c r="S332" s="1"/>
      <c r="T332" s="1"/>
      <c r="U332" s="1"/>
      <c r="V332" s="1"/>
      <c r="W332" s="1"/>
      <c r="X332" s="1"/>
      <c r="Y332" s="1"/>
    </row>
    <row r="333" customFormat="false" ht="15.75" hidden="false" customHeight="true" outlineLevel="0" collapsed="false">
      <c r="M333" s="1"/>
      <c r="N333" s="1"/>
      <c r="O333" s="1"/>
      <c r="P333" s="1"/>
      <c r="Q333" s="1"/>
      <c r="R333" s="1"/>
      <c r="S333" s="1"/>
      <c r="T333" s="1"/>
      <c r="U333" s="1"/>
      <c r="V333" s="1"/>
      <c r="W333" s="1"/>
      <c r="X333" s="1"/>
      <c r="Y333" s="1"/>
    </row>
    <row r="334" customFormat="false" ht="15.75" hidden="false" customHeight="true" outlineLevel="0" collapsed="false">
      <c r="M334" s="1"/>
      <c r="N334" s="1"/>
      <c r="O334" s="1"/>
      <c r="P334" s="1"/>
      <c r="Q334" s="1"/>
      <c r="R334" s="1"/>
      <c r="S334" s="1"/>
      <c r="T334" s="1"/>
      <c r="U334" s="1"/>
      <c r="V334" s="1"/>
      <c r="W334" s="1"/>
      <c r="X334" s="1"/>
      <c r="Y334" s="1"/>
    </row>
    <row r="335" customFormat="false" ht="15.75" hidden="false" customHeight="true" outlineLevel="0" collapsed="false">
      <c r="M335" s="1"/>
      <c r="N335" s="1"/>
      <c r="O335" s="1"/>
      <c r="P335" s="1"/>
      <c r="Q335" s="1"/>
      <c r="R335" s="1"/>
      <c r="S335" s="1"/>
      <c r="T335" s="1"/>
      <c r="U335" s="1"/>
      <c r="V335" s="1"/>
      <c r="W335" s="1"/>
      <c r="X335" s="1"/>
      <c r="Y335" s="1"/>
    </row>
    <row r="336" customFormat="false" ht="15.75" hidden="false" customHeight="true" outlineLevel="0" collapsed="false">
      <c r="M336" s="1"/>
      <c r="N336" s="1"/>
      <c r="O336" s="1"/>
      <c r="P336" s="1"/>
      <c r="Q336" s="1"/>
      <c r="R336" s="1"/>
      <c r="S336" s="1"/>
      <c r="T336" s="1"/>
      <c r="U336" s="1"/>
      <c r="V336" s="1"/>
      <c r="W336" s="1"/>
      <c r="X336" s="1"/>
      <c r="Y336" s="1"/>
    </row>
    <row r="337" customFormat="false" ht="15.75" hidden="false" customHeight="true" outlineLevel="0" collapsed="false">
      <c r="M337" s="1"/>
      <c r="N337" s="1"/>
      <c r="O337" s="1"/>
      <c r="P337" s="1"/>
      <c r="Q337" s="1"/>
      <c r="R337" s="1"/>
      <c r="S337" s="1"/>
      <c r="T337" s="1"/>
      <c r="U337" s="1"/>
      <c r="V337" s="1"/>
      <c r="W337" s="1"/>
      <c r="X337" s="1"/>
      <c r="Y337" s="1"/>
    </row>
    <row r="338" customFormat="false" ht="15.75" hidden="false" customHeight="true" outlineLevel="0" collapsed="false">
      <c r="M338" s="1"/>
      <c r="N338" s="1"/>
      <c r="O338" s="1"/>
      <c r="P338" s="1"/>
      <c r="Q338" s="1"/>
      <c r="R338" s="1"/>
      <c r="S338" s="1"/>
      <c r="T338" s="1"/>
      <c r="U338" s="1"/>
      <c r="V338" s="1"/>
      <c r="W338" s="1"/>
      <c r="X338" s="1"/>
      <c r="Y338" s="1"/>
    </row>
    <row r="339" customFormat="false" ht="15.75" hidden="false" customHeight="true" outlineLevel="0" collapsed="false">
      <c r="M339" s="1"/>
      <c r="N339" s="1"/>
      <c r="O339" s="1"/>
      <c r="P339" s="1"/>
      <c r="Q339" s="1"/>
      <c r="R339" s="1"/>
      <c r="S339" s="1"/>
      <c r="T339" s="1"/>
      <c r="U339" s="1"/>
      <c r="V339" s="1"/>
      <c r="W339" s="1"/>
      <c r="X339" s="1"/>
      <c r="Y339" s="1"/>
    </row>
    <row r="340" customFormat="false" ht="15.75" hidden="false" customHeight="true" outlineLevel="0" collapsed="false">
      <c r="M340" s="1"/>
      <c r="N340" s="1"/>
      <c r="O340" s="1"/>
      <c r="P340" s="1"/>
      <c r="Q340" s="1"/>
      <c r="R340" s="1"/>
      <c r="S340" s="1"/>
      <c r="T340" s="1"/>
      <c r="U340" s="1"/>
      <c r="V340" s="1"/>
      <c r="W340" s="1"/>
      <c r="X340" s="1"/>
      <c r="Y340" s="1"/>
    </row>
    <row r="341" customFormat="false" ht="15.75" hidden="false" customHeight="true" outlineLevel="0" collapsed="false">
      <c r="M341" s="1"/>
      <c r="N341" s="1"/>
      <c r="O341" s="1"/>
      <c r="P341" s="1"/>
      <c r="Q341" s="1"/>
      <c r="R341" s="1"/>
      <c r="S341" s="1"/>
      <c r="T341" s="1"/>
      <c r="U341" s="1"/>
      <c r="V341" s="1"/>
      <c r="W341" s="1"/>
      <c r="X341" s="1"/>
      <c r="Y341" s="1"/>
    </row>
    <row r="342" customFormat="false" ht="15.75" hidden="false" customHeight="true" outlineLevel="0" collapsed="false">
      <c r="M342" s="1"/>
      <c r="N342" s="1"/>
      <c r="O342" s="1"/>
      <c r="P342" s="1"/>
      <c r="Q342" s="1"/>
      <c r="R342" s="1"/>
      <c r="S342" s="1"/>
      <c r="T342" s="1"/>
      <c r="U342" s="1"/>
      <c r="V342" s="1"/>
      <c r="W342" s="1"/>
      <c r="X342" s="1"/>
      <c r="Y342" s="1"/>
    </row>
    <row r="343" customFormat="false" ht="15.75" hidden="false" customHeight="true" outlineLevel="0" collapsed="false">
      <c r="M343" s="1"/>
      <c r="N343" s="1"/>
      <c r="O343" s="1"/>
      <c r="P343" s="1"/>
      <c r="Q343" s="1"/>
      <c r="R343" s="1"/>
      <c r="S343" s="1"/>
      <c r="T343" s="1"/>
      <c r="U343" s="1"/>
      <c r="V343" s="1"/>
      <c r="W343" s="1"/>
      <c r="X343" s="1"/>
      <c r="Y343" s="1"/>
    </row>
    <row r="344" customFormat="false" ht="15.75" hidden="false" customHeight="true" outlineLevel="0" collapsed="false">
      <c r="M344" s="1"/>
      <c r="N344" s="1"/>
      <c r="O344" s="1"/>
      <c r="P344" s="1"/>
      <c r="Q344" s="1"/>
      <c r="R344" s="1"/>
      <c r="S344" s="1"/>
      <c r="T344" s="1"/>
      <c r="U344" s="1"/>
      <c r="V344" s="1"/>
      <c r="W344" s="1"/>
      <c r="X344" s="1"/>
      <c r="Y344" s="1"/>
    </row>
    <row r="345" customFormat="false" ht="15.75" hidden="false" customHeight="true" outlineLevel="0" collapsed="false">
      <c r="M345" s="1"/>
      <c r="N345" s="1"/>
      <c r="O345" s="1"/>
      <c r="P345" s="1"/>
      <c r="Q345" s="1"/>
      <c r="R345" s="1"/>
      <c r="S345" s="1"/>
      <c r="T345" s="1"/>
      <c r="U345" s="1"/>
      <c r="V345" s="1"/>
      <c r="W345" s="1"/>
      <c r="X345" s="1"/>
      <c r="Y345" s="1"/>
    </row>
    <row r="346" customFormat="false" ht="15.75" hidden="false" customHeight="true" outlineLevel="0" collapsed="false">
      <c r="M346" s="1"/>
      <c r="N346" s="1"/>
      <c r="O346" s="1"/>
      <c r="P346" s="1"/>
      <c r="Q346" s="1"/>
      <c r="R346" s="1"/>
      <c r="S346" s="1"/>
      <c r="T346" s="1"/>
      <c r="U346" s="1"/>
      <c r="V346" s="1"/>
      <c r="W346" s="1"/>
      <c r="X346" s="1"/>
      <c r="Y346" s="1"/>
    </row>
    <row r="347" customFormat="false" ht="15.75" hidden="false" customHeight="true" outlineLevel="0" collapsed="false">
      <c r="M347" s="1"/>
      <c r="N347" s="1"/>
      <c r="O347" s="1"/>
      <c r="P347" s="1"/>
      <c r="Q347" s="1"/>
      <c r="R347" s="1"/>
      <c r="S347" s="1"/>
      <c r="T347" s="1"/>
      <c r="U347" s="1"/>
      <c r="V347" s="1"/>
      <c r="W347" s="1"/>
      <c r="X347" s="1"/>
      <c r="Y347" s="1"/>
    </row>
    <row r="348" customFormat="false" ht="15.75" hidden="false" customHeight="true" outlineLevel="0" collapsed="false">
      <c r="M348" s="1"/>
      <c r="N348" s="1"/>
      <c r="O348" s="1"/>
      <c r="P348" s="1"/>
      <c r="Q348" s="1"/>
      <c r="R348" s="1"/>
      <c r="S348" s="1"/>
      <c r="T348" s="1"/>
      <c r="U348" s="1"/>
      <c r="V348" s="1"/>
      <c r="W348" s="1"/>
      <c r="X348" s="1"/>
      <c r="Y348" s="1"/>
    </row>
    <row r="349" customFormat="false" ht="15.75" hidden="false" customHeight="true" outlineLevel="0" collapsed="false">
      <c r="M349" s="1"/>
      <c r="N349" s="1"/>
      <c r="O349" s="1"/>
      <c r="P349" s="1"/>
      <c r="Q349" s="1"/>
      <c r="R349" s="1"/>
      <c r="S349" s="1"/>
      <c r="T349" s="1"/>
      <c r="U349" s="1"/>
      <c r="V349" s="1"/>
      <c r="W349" s="1"/>
      <c r="X349" s="1"/>
      <c r="Y349" s="1"/>
    </row>
    <row r="350" customFormat="false" ht="15.75" hidden="false" customHeight="true" outlineLevel="0" collapsed="false">
      <c r="M350" s="1"/>
      <c r="N350" s="1"/>
      <c r="O350" s="1"/>
      <c r="P350" s="1"/>
      <c r="Q350" s="1"/>
      <c r="R350" s="1"/>
      <c r="S350" s="1"/>
      <c r="T350" s="1"/>
      <c r="U350" s="1"/>
      <c r="V350" s="1"/>
      <c r="W350" s="1"/>
      <c r="X350" s="1"/>
      <c r="Y350" s="1"/>
    </row>
    <row r="351" customFormat="false" ht="15.75" hidden="false" customHeight="true" outlineLevel="0" collapsed="false">
      <c r="M351" s="1"/>
      <c r="N351" s="1"/>
      <c r="O351" s="1"/>
      <c r="P351" s="1"/>
      <c r="Q351" s="1"/>
      <c r="R351" s="1"/>
      <c r="S351" s="1"/>
      <c r="T351" s="1"/>
      <c r="U351" s="1"/>
      <c r="V351" s="1"/>
      <c r="W351" s="1"/>
      <c r="X351" s="1"/>
      <c r="Y351" s="1"/>
    </row>
    <row r="352" customFormat="false" ht="15.75" hidden="false" customHeight="true" outlineLevel="0" collapsed="false">
      <c r="M352" s="1"/>
      <c r="N352" s="1"/>
      <c r="O352" s="1"/>
      <c r="P352" s="1"/>
      <c r="Q352" s="1"/>
      <c r="R352" s="1"/>
      <c r="S352" s="1"/>
      <c r="T352" s="1"/>
      <c r="U352" s="1"/>
      <c r="V352" s="1"/>
      <c r="W352" s="1"/>
      <c r="X352" s="1"/>
      <c r="Y352" s="1"/>
    </row>
    <row r="353" customFormat="false" ht="15.75" hidden="false" customHeight="true" outlineLevel="0" collapsed="false">
      <c r="M353" s="1"/>
      <c r="N353" s="1"/>
      <c r="O353" s="1"/>
      <c r="P353" s="1"/>
      <c r="Q353" s="1"/>
      <c r="R353" s="1"/>
      <c r="S353" s="1"/>
      <c r="T353" s="1"/>
      <c r="U353" s="1"/>
      <c r="V353" s="1"/>
      <c r="W353" s="1"/>
      <c r="X353" s="1"/>
      <c r="Y353" s="1"/>
    </row>
    <row r="354" customFormat="false" ht="15.75" hidden="false" customHeight="true" outlineLevel="0" collapsed="false">
      <c r="M354" s="1"/>
      <c r="N354" s="1"/>
      <c r="O354" s="1"/>
      <c r="P354" s="1"/>
      <c r="Q354" s="1"/>
      <c r="R354" s="1"/>
      <c r="S354" s="1"/>
      <c r="T354" s="1"/>
      <c r="U354" s="1"/>
      <c r="V354" s="1"/>
      <c r="W354" s="1"/>
      <c r="X354" s="1"/>
      <c r="Y354" s="1"/>
    </row>
    <row r="355" customFormat="false" ht="15.75" hidden="false" customHeight="true" outlineLevel="0" collapsed="false">
      <c r="M355" s="1"/>
      <c r="N355" s="1"/>
      <c r="O355" s="1"/>
      <c r="P355" s="1"/>
      <c r="Q355" s="1"/>
      <c r="R355" s="1"/>
      <c r="S355" s="1"/>
      <c r="T355" s="1"/>
      <c r="U355" s="1"/>
      <c r="V355" s="1"/>
      <c r="W355" s="1"/>
      <c r="X355" s="1"/>
      <c r="Y355" s="1"/>
    </row>
    <row r="356" customFormat="false" ht="15.75" hidden="false" customHeight="true" outlineLevel="0" collapsed="false">
      <c r="M356" s="1"/>
      <c r="N356" s="1"/>
      <c r="O356" s="1"/>
      <c r="P356" s="1"/>
      <c r="Q356" s="1"/>
      <c r="R356" s="1"/>
      <c r="S356" s="1"/>
      <c r="T356" s="1"/>
      <c r="U356" s="1"/>
      <c r="V356" s="1"/>
      <c r="W356" s="1"/>
      <c r="X356" s="1"/>
      <c r="Y356" s="1"/>
    </row>
    <row r="357" customFormat="false" ht="15.75" hidden="false" customHeight="true" outlineLevel="0" collapsed="false">
      <c r="M357" s="1"/>
      <c r="N357" s="1"/>
      <c r="O357" s="1"/>
      <c r="P357" s="1"/>
      <c r="Q357" s="1"/>
      <c r="R357" s="1"/>
      <c r="S357" s="1"/>
      <c r="T357" s="1"/>
      <c r="U357" s="1"/>
      <c r="V357" s="1"/>
      <c r="W357" s="1"/>
      <c r="X357" s="1"/>
      <c r="Y357" s="1"/>
    </row>
    <row r="358" customFormat="false" ht="15.75" hidden="false" customHeight="true" outlineLevel="0" collapsed="false">
      <c r="M358" s="1"/>
      <c r="N358" s="1"/>
      <c r="O358" s="1"/>
      <c r="P358" s="1"/>
      <c r="Q358" s="1"/>
      <c r="R358" s="1"/>
      <c r="S358" s="1"/>
      <c r="T358" s="1"/>
      <c r="U358" s="1"/>
      <c r="V358" s="1"/>
      <c r="W358" s="1"/>
      <c r="X358" s="1"/>
      <c r="Y358" s="1"/>
    </row>
    <row r="359" customFormat="false" ht="15.75" hidden="false" customHeight="true" outlineLevel="0" collapsed="false">
      <c r="M359" s="1"/>
      <c r="N359" s="1"/>
      <c r="O359" s="1"/>
      <c r="P359" s="1"/>
      <c r="Q359" s="1"/>
      <c r="R359" s="1"/>
      <c r="S359" s="1"/>
      <c r="T359" s="1"/>
      <c r="U359" s="1"/>
      <c r="V359" s="1"/>
      <c r="W359" s="1"/>
      <c r="X359" s="1"/>
      <c r="Y359" s="1"/>
    </row>
    <row r="360" customFormat="false" ht="15.75" hidden="false" customHeight="true" outlineLevel="0" collapsed="false">
      <c r="M360" s="1"/>
      <c r="N360" s="1"/>
      <c r="O360" s="1"/>
      <c r="P360" s="1"/>
      <c r="Q360" s="1"/>
      <c r="R360" s="1"/>
      <c r="S360" s="1"/>
      <c r="T360" s="1"/>
      <c r="U360" s="1"/>
      <c r="V360" s="1"/>
      <c r="W360" s="1"/>
      <c r="X360" s="1"/>
      <c r="Y360" s="1"/>
    </row>
    <row r="361" customFormat="false" ht="15.75" hidden="false" customHeight="true" outlineLevel="0" collapsed="false">
      <c r="M361" s="1"/>
      <c r="N361" s="1"/>
      <c r="O361" s="1"/>
      <c r="P361" s="1"/>
      <c r="Q361" s="1"/>
      <c r="R361" s="1"/>
      <c r="S361" s="1"/>
      <c r="T361" s="1"/>
      <c r="U361" s="1"/>
      <c r="V361" s="1"/>
      <c r="W361" s="1"/>
      <c r="X361" s="1"/>
      <c r="Y361" s="1"/>
    </row>
    <row r="362" customFormat="false" ht="15.75" hidden="false" customHeight="true" outlineLevel="0" collapsed="false">
      <c r="M362" s="1"/>
      <c r="N362" s="1"/>
      <c r="O362" s="1"/>
      <c r="P362" s="1"/>
      <c r="Q362" s="1"/>
      <c r="R362" s="1"/>
      <c r="S362" s="1"/>
      <c r="T362" s="1"/>
      <c r="U362" s="1"/>
      <c r="V362" s="1"/>
      <c r="W362" s="1"/>
      <c r="X362" s="1"/>
      <c r="Y362" s="1"/>
    </row>
    <row r="363" customFormat="false" ht="15.75" hidden="false" customHeight="true" outlineLevel="0" collapsed="false">
      <c r="M363" s="1"/>
      <c r="N363" s="1"/>
      <c r="O363" s="1"/>
      <c r="P363" s="1"/>
      <c r="Q363" s="1"/>
      <c r="R363" s="1"/>
      <c r="S363" s="1"/>
      <c r="T363" s="1"/>
      <c r="U363" s="1"/>
      <c r="V363" s="1"/>
      <c r="W363" s="1"/>
      <c r="X363" s="1"/>
      <c r="Y363" s="1"/>
    </row>
    <row r="364" customFormat="false" ht="15.75" hidden="false" customHeight="true" outlineLevel="0" collapsed="false">
      <c r="M364" s="1"/>
      <c r="N364" s="1"/>
      <c r="O364" s="1"/>
      <c r="P364" s="1"/>
      <c r="Q364" s="1"/>
      <c r="R364" s="1"/>
      <c r="S364" s="1"/>
      <c r="T364" s="1"/>
      <c r="U364" s="1"/>
      <c r="V364" s="1"/>
      <c r="W364" s="1"/>
      <c r="X364" s="1"/>
      <c r="Y364" s="1"/>
    </row>
    <row r="365" customFormat="false" ht="15.75" hidden="false" customHeight="true" outlineLevel="0" collapsed="false">
      <c r="M365" s="1"/>
      <c r="N365" s="1"/>
      <c r="O365" s="1"/>
      <c r="P365" s="1"/>
      <c r="Q365" s="1"/>
      <c r="R365" s="1"/>
      <c r="S365" s="1"/>
      <c r="T365" s="1"/>
      <c r="U365" s="1"/>
      <c r="V365" s="1"/>
      <c r="W365" s="1"/>
      <c r="X365" s="1"/>
      <c r="Y365" s="1"/>
    </row>
    <row r="366" customFormat="false" ht="15.75" hidden="false" customHeight="true" outlineLevel="0" collapsed="false">
      <c r="M366" s="1"/>
      <c r="N366" s="1"/>
      <c r="O366" s="1"/>
      <c r="P366" s="1"/>
      <c r="Q366" s="1"/>
      <c r="R366" s="1"/>
      <c r="S366" s="1"/>
      <c r="T366" s="1"/>
      <c r="U366" s="1"/>
      <c r="V366" s="1"/>
      <c r="W366" s="1"/>
      <c r="X366" s="1"/>
      <c r="Y366" s="1"/>
    </row>
    <row r="367" customFormat="false" ht="15.75" hidden="false" customHeight="true" outlineLevel="0" collapsed="false">
      <c r="M367" s="1"/>
      <c r="N367" s="1"/>
      <c r="O367" s="1"/>
      <c r="P367" s="1"/>
      <c r="Q367" s="1"/>
      <c r="R367" s="1"/>
      <c r="S367" s="1"/>
      <c r="T367" s="1"/>
      <c r="U367" s="1"/>
      <c r="V367" s="1"/>
      <c r="W367" s="1"/>
      <c r="X367" s="1"/>
      <c r="Y367" s="1"/>
    </row>
    <row r="368" customFormat="false" ht="15.75" hidden="false" customHeight="true" outlineLevel="0" collapsed="false">
      <c r="M368" s="1"/>
      <c r="N368" s="1"/>
      <c r="O368" s="1"/>
      <c r="P368" s="1"/>
      <c r="Q368" s="1"/>
      <c r="R368" s="1"/>
      <c r="S368" s="1"/>
      <c r="T368" s="1"/>
      <c r="U368" s="1"/>
      <c r="V368" s="1"/>
      <c r="W368" s="1"/>
      <c r="X368" s="1"/>
      <c r="Y368" s="1"/>
    </row>
    <row r="369" customFormat="false" ht="15.75" hidden="false" customHeight="true" outlineLevel="0" collapsed="false">
      <c r="M369" s="1"/>
      <c r="N369" s="1"/>
      <c r="O369" s="1"/>
      <c r="P369" s="1"/>
      <c r="Q369" s="1"/>
      <c r="R369" s="1"/>
      <c r="S369" s="1"/>
      <c r="T369" s="1"/>
      <c r="U369" s="1"/>
      <c r="V369" s="1"/>
      <c r="W369" s="1"/>
      <c r="X369" s="1"/>
      <c r="Y369" s="1"/>
    </row>
    <row r="370" customFormat="false" ht="15.75" hidden="false" customHeight="true" outlineLevel="0" collapsed="false">
      <c r="M370" s="1"/>
      <c r="N370" s="1"/>
      <c r="O370" s="1"/>
      <c r="P370" s="1"/>
      <c r="Q370" s="1"/>
      <c r="R370" s="1"/>
      <c r="S370" s="1"/>
      <c r="T370" s="1"/>
      <c r="U370" s="1"/>
      <c r="V370" s="1"/>
      <c r="W370" s="1"/>
      <c r="X370" s="1"/>
      <c r="Y370" s="1"/>
    </row>
    <row r="371" customFormat="false" ht="15.75" hidden="false" customHeight="true" outlineLevel="0" collapsed="false">
      <c r="M371" s="1"/>
      <c r="N371" s="1"/>
      <c r="O371" s="1"/>
      <c r="P371" s="1"/>
      <c r="Q371" s="1"/>
      <c r="R371" s="1"/>
      <c r="S371" s="1"/>
      <c r="T371" s="1"/>
      <c r="U371" s="1"/>
      <c r="V371" s="1"/>
      <c r="W371" s="1"/>
      <c r="X371" s="1"/>
      <c r="Y371" s="1"/>
    </row>
    <row r="372" customFormat="false" ht="15.75" hidden="false" customHeight="true" outlineLevel="0" collapsed="false">
      <c r="M372" s="1"/>
      <c r="N372" s="1"/>
      <c r="O372" s="1"/>
      <c r="P372" s="1"/>
      <c r="Q372" s="1"/>
      <c r="R372" s="1"/>
      <c r="S372" s="1"/>
      <c r="T372" s="1"/>
      <c r="U372" s="1"/>
      <c r="V372" s="1"/>
      <c r="W372" s="1"/>
      <c r="X372" s="1"/>
      <c r="Y372" s="1"/>
    </row>
    <row r="373" customFormat="false" ht="15.75" hidden="false" customHeight="true" outlineLevel="0" collapsed="false">
      <c r="M373" s="1"/>
      <c r="N373" s="1"/>
      <c r="O373" s="1"/>
      <c r="P373" s="1"/>
      <c r="Q373" s="1"/>
      <c r="R373" s="1"/>
      <c r="S373" s="1"/>
      <c r="T373" s="1"/>
      <c r="U373" s="1"/>
      <c r="V373" s="1"/>
      <c r="W373" s="1"/>
      <c r="X373" s="1"/>
      <c r="Y373" s="1"/>
    </row>
    <row r="374" customFormat="false" ht="15.75" hidden="false" customHeight="true" outlineLevel="0" collapsed="false">
      <c r="M374" s="1"/>
      <c r="N374" s="1"/>
      <c r="O374" s="1"/>
      <c r="P374" s="1"/>
      <c r="Q374" s="1"/>
      <c r="R374" s="1"/>
      <c r="S374" s="1"/>
      <c r="T374" s="1"/>
      <c r="U374" s="1"/>
      <c r="V374" s="1"/>
      <c r="W374" s="1"/>
      <c r="X374" s="1"/>
      <c r="Y374" s="1"/>
    </row>
    <row r="375" customFormat="false" ht="15.75" hidden="false" customHeight="true" outlineLevel="0" collapsed="false">
      <c r="M375" s="1"/>
      <c r="N375" s="1"/>
      <c r="O375" s="1"/>
      <c r="P375" s="1"/>
      <c r="Q375" s="1"/>
      <c r="R375" s="1"/>
      <c r="S375" s="1"/>
      <c r="T375" s="1"/>
      <c r="U375" s="1"/>
      <c r="V375" s="1"/>
      <c r="W375" s="1"/>
      <c r="X375" s="1"/>
      <c r="Y375" s="1"/>
    </row>
    <row r="376" customFormat="false" ht="15.75" hidden="false" customHeight="true" outlineLevel="0" collapsed="false">
      <c r="M376" s="1"/>
      <c r="N376" s="1"/>
      <c r="O376" s="1"/>
      <c r="P376" s="1"/>
      <c r="Q376" s="1"/>
      <c r="R376" s="1"/>
      <c r="S376" s="1"/>
      <c r="T376" s="1"/>
      <c r="U376" s="1"/>
      <c r="V376" s="1"/>
      <c r="W376" s="1"/>
      <c r="X376" s="1"/>
      <c r="Y376" s="1"/>
    </row>
    <row r="377" customFormat="false" ht="15.75" hidden="false" customHeight="true" outlineLevel="0" collapsed="false">
      <c r="M377" s="1"/>
      <c r="N377" s="1"/>
      <c r="O377" s="1"/>
      <c r="P377" s="1"/>
      <c r="Q377" s="1"/>
      <c r="R377" s="1"/>
      <c r="S377" s="1"/>
      <c r="T377" s="1"/>
      <c r="U377" s="1"/>
      <c r="V377" s="1"/>
      <c r="W377" s="1"/>
      <c r="X377" s="1"/>
      <c r="Y377" s="1"/>
    </row>
    <row r="378" customFormat="false" ht="15.75" hidden="false" customHeight="true" outlineLevel="0" collapsed="false">
      <c r="M378" s="1"/>
      <c r="N378" s="1"/>
      <c r="O378" s="1"/>
      <c r="P378" s="1"/>
      <c r="Q378" s="1"/>
      <c r="R378" s="1"/>
      <c r="S378" s="1"/>
      <c r="T378" s="1"/>
      <c r="U378" s="1"/>
      <c r="V378" s="1"/>
      <c r="W378" s="1"/>
      <c r="X378" s="1"/>
      <c r="Y378" s="1"/>
    </row>
    <row r="379" customFormat="false" ht="15.75" hidden="false" customHeight="true" outlineLevel="0" collapsed="false">
      <c r="M379" s="1"/>
      <c r="N379" s="1"/>
      <c r="O379" s="1"/>
      <c r="P379" s="1"/>
      <c r="Q379" s="1"/>
      <c r="R379" s="1"/>
      <c r="S379" s="1"/>
      <c r="T379" s="1"/>
      <c r="U379" s="1"/>
      <c r="V379" s="1"/>
      <c r="W379" s="1"/>
      <c r="X379" s="1"/>
      <c r="Y379" s="1"/>
    </row>
    <row r="380" customFormat="false" ht="15.75" hidden="false" customHeight="true" outlineLevel="0" collapsed="false">
      <c r="M380" s="1"/>
      <c r="N380" s="1"/>
      <c r="O380" s="1"/>
      <c r="P380" s="1"/>
      <c r="Q380" s="1"/>
      <c r="R380" s="1"/>
      <c r="S380" s="1"/>
      <c r="T380" s="1"/>
      <c r="U380" s="1"/>
      <c r="V380" s="1"/>
      <c r="W380" s="1"/>
      <c r="X380" s="1"/>
      <c r="Y380" s="1"/>
    </row>
    <row r="381" customFormat="false" ht="15.75" hidden="false" customHeight="true" outlineLevel="0" collapsed="false">
      <c r="M381" s="1"/>
      <c r="N381" s="1"/>
      <c r="O381" s="1"/>
      <c r="P381" s="1"/>
      <c r="Q381" s="1"/>
      <c r="R381" s="1"/>
      <c r="S381" s="1"/>
      <c r="T381" s="1"/>
      <c r="U381" s="1"/>
      <c r="V381" s="1"/>
      <c r="W381" s="1"/>
      <c r="X381" s="1"/>
      <c r="Y381" s="1"/>
    </row>
    <row r="382" customFormat="false" ht="15.75" hidden="false" customHeight="true" outlineLevel="0" collapsed="false">
      <c r="M382" s="1"/>
      <c r="N382" s="1"/>
      <c r="O382" s="1"/>
      <c r="P382" s="1"/>
      <c r="Q382" s="1"/>
      <c r="R382" s="1"/>
      <c r="S382" s="1"/>
      <c r="T382" s="1"/>
      <c r="U382" s="1"/>
      <c r="V382" s="1"/>
      <c r="W382" s="1"/>
      <c r="X382" s="1"/>
      <c r="Y382" s="1"/>
    </row>
    <row r="383" customFormat="false" ht="15.75" hidden="false" customHeight="true" outlineLevel="0" collapsed="false">
      <c r="M383" s="1"/>
      <c r="N383" s="1"/>
      <c r="O383" s="1"/>
      <c r="P383" s="1"/>
      <c r="Q383" s="1"/>
      <c r="R383" s="1"/>
      <c r="S383" s="1"/>
      <c r="T383" s="1"/>
      <c r="U383" s="1"/>
      <c r="V383" s="1"/>
      <c r="W383" s="1"/>
      <c r="X383" s="1"/>
      <c r="Y383" s="1"/>
    </row>
    <row r="384" customFormat="false" ht="15.75" hidden="false" customHeight="true" outlineLevel="0" collapsed="false">
      <c r="M384" s="1"/>
      <c r="N384" s="1"/>
      <c r="O384" s="1"/>
      <c r="P384" s="1"/>
      <c r="Q384" s="1"/>
      <c r="R384" s="1"/>
      <c r="S384" s="1"/>
      <c r="T384" s="1"/>
      <c r="U384" s="1"/>
      <c r="V384" s="1"/>
      <c r="W384" s="1"/>
      <c r="X384" s="1"/>
      <c r="Y384" s="1"/>
    </row>
    <row r="385" customFormat="false" ht="15.75" hidden="false" customHeight="true" outlineLevel="0" collapsed="false">
      <c r="M385" s="1"/>
      <c r="N385" s="1"/>
      <c r="O385" s="1"/>
      <c r="P385" s="1"/>
      <c r="Q385" s="1"/>
      <c r="R385" s="1"/>
      <c r="S385" s="1"/>
      <c r="T385" s="1"/>
      <c r="U385" s="1"/>
      <c r="V385" s="1"/>
      <c r="W385" s="1"/>
      <c r="X385" s="1"/>
      <c r="Y385" s="1"/>
    </row>
    <row r="386" customFormat="false" ht="15.75" hidden="false" customHeight="true" outlineLevel="0" collapsed="false">
      <c r="M386" s="1"/>
      <c r="N386" s="1"/>
      <c r="O386" s="1"/>
      <c r="P386" s="1"/>
      <c r="Q386" s="1"/>
      <c r="R386" s="1"/>
      <c r="S386" s="1"/>
      <c r="T386" s="1"/>
      <c r="U386" s="1"/>
      <c r="V386" s="1"/>
      <c r="W386" s="1"/>
      <c r="X386" s="1"/>
      <c r="Y386" s="1"/>
    </row>
    <row r="387" customFormat="false" ht="15.75" hidden="false" customHeight="true" outlineLevel="0" collapsed="false">
      <c r="M387" s="1"/>
      <c r="N387" s="1"/>
      <c r="O387" s="1"/>
      <c r="P387" s="1"/>
      <c r="Q387" s="1"/>
      <c r="R387" s="1"/>
      <c r="S387" s="1"/>
      <c r="T387" s="1"/>
      <c r="U387" s="1"/>
      <c r="V387" s="1"/>
      <c r="W387" s="1"/>
      <c r="X387" s="1"/>
      <c r="Y387" s="1"/>
    </row>
    <row r="388" customFormat="false" ht="15.75" hidden="false" customHeight="true" outlineLevel="0" collapsed="false">
      <c r="M388" s="1"/>
      <c r="N388" s="1"/>
      <c r="O388" s="1"/>
      <c r="P388" s="1"/>
      <c r="Q388" s="1"/>
      <c r="R388" s="1"/>
      <c r="S388" s="1"/>
      <c r="T388" s="1"/>
      <c r="U388" s="1"/>
      <c r="V388" s="1"/>
      <c r="W388" s="1"/>
      <c r="X388" s="1"/>
      <c r="Y388" s="1"/>
    </row>
    <row r="389" customFormat="false" ht="15.75" hidden="false" customHeight="true" outlineLevel="0" collapsed="false">
      <c r="M389" s="1"/>
      <c r="N389" s="1"/>
      <c r="O389" s="1"/>
      <c r="P389" s="1"/>
      <c r="Q389" s="1"/>
      <c r="R389" s="1"/>
      <c r="S389" s="1"/>
      <c r="T389" s="1"/>
      <c r="U389" s="1"/>
      <c r="V389" s="1"/>
      <c r="W389" s="1"/>
      <c r="X389" s="1"/>
      <c r="Y389" s="1"/>
    </row>
    <row r="390" customFormat="false" ht="15.75" hidden="false" customHeight="true" outlineLevel="0" collapsed="false">
      <c r="M390" s="1"/>
      <c r="N390" s="1"/>
      <c r="O390" s="1"/>
      <c r="P390" s="1"/>
      <c r="Q390" s="1"/>
      <c r="R390" s="1"/>
      <c r="S390" s="1"/>
      <c r="T390" s="1"/>
      <c r="U390" s="1"/>
      <c r="V390" s="1"/>
      <c r="W390" s="1"/>
      <c r="X390" s="1"/>
      <c r="Y390" s="1"/>
    </row>
    <row r="391" customFormat="false" ht="15.75" hidden="false" customHeight="true" outlineLevel="0" collapsed="false">
      <c r="M391" s="1"/>
      <c r="N391" s="1"/>
      <c r="O391" s="1"/>
      <c r="P391" s="1"/>
      <c r="Q391" s="1"/>
      <c r="R391" s="1"/>
      <c r="S391" s="1"/>
      <c r="T391" s="1"/>
      <c r="U391" s="1"/>
      <c r="V391" s="1"/>
      <c r="W391" s="1"/>
      <c r="X391" s="1"/>
      <c r="Y391" s="1"/>
    </row>
    <row r="392" customFormat="false" ht="15.75" hidden="false" customHeight="true" outlineLevel="0" collapsed="false">
      <c r="M392" s="1"/>
      <c r="N392" s="1"/>
      <c r="O392" s="1"/>
      <c r="P392" s="1"/>
      <c r="Q392" s="1"/>
      <c r="R392" s="1"/>
      <c r="S392" s="1"/>
      <c r="T392" s="1"/>
      <c r="U392" s="1"/>
      <c r="V392" s="1"/>
      <c r="W392" s="1"/>
      <c r="X392" s="1"/>
      <c r="Y392" s="1"/>
    </row>
    <row r="393" customFormat="false" ht="15.75" hidden="false" customHeight="true" outlineLevel="0" collapsed="false">
      <c r="M393" s="1"/>
      <c r="N393" s="1"/>
      <c r="O393" s="1"/>
      <c r="P393" s="1"/>
      <c r="Q393" s="1"/>
      <c r="R393" s="1"/>
      <c r="S393" s="1"/>
      <c r="T393" s="1"/>
      <c r="U393" s="1"/>
      <c r="V393" s="1"/>
      <c r="W393" s="1"/>
      <c r="X393" s="1"/>
      <c r="Y393" s="1"/>
    </row>
    <row r="394" customFormat="false" ht="15.75" hidden="false" customHeight="true" outlineLevel="0" collapsed="false">
      <c r="M394" s="1"/>
      <c r="N394" s="1"/>
      <c r="O394" s="1"/>
      <c r="P394" s="1"/>
      <c r="Q394" s="1"/>
      <c r="R394" s="1"/>
      <c r="S394" s="1"/>
      <c r="T394" s="1"/>
      <c r="U394" s="1"/>
      <c r="V394" s="1"/>
      <c r="W394" s="1"/>
      <c r="X394" s="1"/>
      <c r="Y394" s="1"/>
    </row>
    <row r="395" customFormat="false" ht="15.75" hidden="false" customHeight="true" outlineLevel="0" collapsed="false">
      <c r="M395" s="1"/>
      <c r="N395" s="1"/>
      <c r="O395" s="1"/>
      <c r="P395" s="1"/>
      <c r="Q395" s="1"/>
      <c r="R395" s="1"/>
      <c r="S395" s="1"/>
      <c r="T395" s="1"/>
      <c r="U395" s="1"/>
      <c r="V395" s="1"/>
      <c r="W395" s="1"/>
      <c r="X395" s="1"/>
      <c r="Y395" s="1"/>
    </row>
    <row r="396" customFormat="false" ht="15.75" hidden="false" customHeight="true" outlineLevel="0" collapsed="false">
      <c r="M396" s="1"/>
      <c r="N396" s="1"/>
      <c r="O396" s="1"/>
      <c r="P396" s="1"/>
      <c r="Q396" s="1"/>
      <c r="R396" s="1"/>
      <c r="S396" s="1"/>
      <c r="T396" s="1"/>
      <c r="U396" s="1"/>
      <c r="V396" s="1"/>
      <c r="W396" s="1"/>
      <c r="X396" s="1"/>
      <c r="Y396" s="1"/>
    </row>
    <row r="397" customFormat="false" ht="15.75" hidden="false" customHeight="true" outlineLevel="0" collapsed="false">
      <c r="M397" s="1"/>
      <c r="N397" s="1"/>
      <c r="O397" s="1"/>
      <c r="P397" s="1"/>
      <c r="Q397" s="1"/>
      <c r="R397" s="1"/>
      <c r="S397" s="1"/>
      <c r="T397" s="1"/>
      <c r="U397" s="1"/>
      <c r="V397" s="1"/>
      <c r="W397" s="1"/>
      <c r="X397" s="1"/>
      <c r="Y397" s="1"/>
    </row>
    <row r="398" customFormat="false" ht="15.75" hidden="false" customHeight="true" outlineLevel="0" collapsed="false">
      <c r="M398" s="1"/>
      <c r="N398" s="1"/>
      <c r="O398" s="1"/>
      <c r="P398" s="1"/>
      <c r="Q398" s="1"/>
      <c r="R398" s="1"/>
      <c r="S398" s="1"/>
      <c r="T398" s="1"/>
      <c r="U398" s="1"/>
      <c r="V398" s="1"/>
      <c r="W398" s="1"/>
      <c r="X398" s="1"/>
      <c r="Y398" s="1"/>
    </row>
    <row r="399" customFormat="false" ht="15.75" hidden="false" customHeight="true" outlineLevel="0" collapsed="false">
      <c r="M399" s="1"/>
      <c r="N399" s="1"/>
      <c r="O399" s="1"/>
      <c r="P399" s="1"/>
      <c r="Q399" s="1"/>
      <c r="R399" s="1"/>
      <c r="S399" s="1"/>
      <c r="T399" s="1"/>
      <c r="U399" s="1"/>
      <c r="V399" s="1"/>
      <c r="W399" s="1"/>
      <c r="X399" s="1"/>
      <c r="Y399" s="1"/>
    </row>
    <row r="400" customFormat="false" ht="15.75" hidden="false" customHeight="true" outlineLevel="0" collapsed="false">
      <c r="M400" s="1"/>
      <c r="N400" s="1"/>
      <c r="O400" s="1"/>
      <c r="P400" s="1"/>
      <c r="Q400" s="1"/>
      <c r="R400" s="1"/>
      <c r="S400" s="1"/>
      <c r="T400" s="1"/>
      <c r="U400" s="1"/>
      <c r="V400" s="1"/>
      <c r="W400" s="1"/>
      <c r="X400" s="1"/>
      <c r="Y400" s="1"/>
    </row>
    <row r="401" customFormat="false" ht="15.75" hidden="false" customHeight="true" outlineLevel="0" collapsed="false">
      <c r="M401" s="1"/>
      <c r="N401" s="1"/>
      <c r="O401" s="1"/>
      <c r="P401" s="1"/>
      <c r="Q401" s="1"/>
      <c r="R401" s="1"/>
      <c r="S401" s="1"/>
      <c r="T401" s="1"/>
      <c r="U401" s="1"/>
      <c r="V401" s="1"/>
      <c r="W401" s="1"/>
      <c r="X401" s="1"/>
      <c r="Y401" s="1"/>
    </row>
    <row r="402" customFormat="false" ht="15.75" hidden="false" customHeight="true" outlineLevel="0" collapsed="false">
      <c r="M402" s="1"/>
      <c r="N402" s="1"/>
      <c r="O402" s="1"/>
      <c r="P402" s="1"/>
      <c r="Q402" s="1"/>
      <c r="R402" s="1"/>
      <c r="S402" s="1"/>
      <c r="T402" s="1"/>
      <c r="U402" s="1"/>
      <c r="V402" s="1"/>
      <c r="W402" s="1"/>
      <c r="X402" s="1"/>
      <c r="Y402" s="1"/>
    </row>
    <row r="403" customFormat="false" ht="15.75" hidden="false" customHeight="true" outlineLevel="0" collapsed="false">
      <c r="M403" s="1"/>
      <c r="N403" s="1"/>
      <c r="O403" s="1"/>
      <c r="P403" s="1"/>
      <c r="Q403" s="1"/>
      <c r="R403" s="1"/>
      <c r="S403" s="1"/>
      <c r="T403" s="1"/>
      <c r="U403" s="1"/>
      <c r="V403" s="1"/>
      <c r="W403" s="1"/>
      <c r="X403" s="1"/>
      <c r="Y403" s="1"/>
    </row>
    <row r="404" customFormat="false" ht="15.75" hidden="false" customHeight="true" outlineLevel="0" collapsed="false">
      <c r="M404" s="1"/>
      <c r="N404" s="1"/>
      <c r="O404" s="1"/>
      <c r="P404" s="1"/>
      <c r="Q404" s="1"/>
      <c r="R404" s="1"/>
      <c r="S404" s="1"/>
      <c r="T404" s="1"/>
      <c r="U404" s="1"/>
      <c r="V404" s="1"/>
      <c r="W404" s="1"/>
      <c r="X404" s="1"/>
      <c r="Y404" s="1"/>
    </row>
    <row r="405" customFormat="false" ht="15.75" hidden="false" customHeight="true" outlineLevel="0" collapsed="false">
      <c r="M405" s="1"/>
      <c r="N405" s="1"/>
      <c r="O405" s="1"/>
      <c r="P405" s="1"/>
      <c r="Q405" s="1"/>
      <c r="R405" s="1"/>
      <c r="S405" s="1"/>
      <c r="T405" s="1"/>
      <c r="U405" s="1"/>
      <c r="V405" s="1"/>
      <c r="W405" s="1"/>
      <c r="X405" s="1"/>
      <c r="Y405" s="1"/>
    </row>
    <row r="406" customFormat="false" ht="15.75" hidden="false" customHeight="true" outlineLevel="0" collapsed="false">
      <c r="M406" s="1"/>
      <c r="N406" s="1"/>
      <c r="O406" s="1"/>
      <c r="P406" s="1"/>
      <c r="Q406" s="1"/>
      <c r="R406" s="1"/>
      <c r="S406" s="1"/>
      <c r="T406" s="1"/>
      <c r="U406" s="1"/>
      <c r="V406" s="1"/>
      <c r="W406" s="1"/>
      <c r="X406" s="1"/>
      <c r="Y406" s="1"/>
    </row>
    <row r="407" customFormat="false" ht="15.75" hidden="false" customHeight="true" outlineLevel="0" collapsed="false">
      <c r="M407" s="1"/>
      <c r="N407" s="1"/>
      <c r="O407" s="1"/>
      <c r="P407" s="1"/>
      <c r="Q407" s="1"/>
      <c r="R407" s="1"/>
      <c r="S407" s="1"/>
      <c r="T407" s="1"/>
      <c r="U407" s="1"/>
      <c r="V407" s="1"/>
      <c r="W407" s="1"/>
      <c r="X407" s="1"/>
      <c r="Y407" s="1"/>
    </row>
    <row r="408" customFormat="false" ht="15.75" hidden="false" customHeight="true" outlineLevel="0" collapsed="false">
      <c r="M408" s="1"/>
      <c r="N408" s="1"/>
      <c r="O408" s="1"/>
      <c r="P408" s="1"/>
      <c r="Q408" s="1"/>
      <c r="R408" s="1"/>
      <c r="S408" s="1"/>
      <c r="T408" s="1"/>
      <c r="U408" s="1"/>
      <c r="V408" s="1"/>
      <c r="W408" s="1"/>
      <c r="X408" s="1"/>
      <c r="Y408" s="1"/>
    </row>
    <row r="409" customFormat="false" ht="15.75" hidden="false" customHeight="true" outlineLevel="0" collapsed="false">
      <c r="M409" s="1"/>
      <c r="N409" s="1"/>
      <c r="O409" s="1"/>
      <c r="P409" s="1"/>
      <c r="Q409" s="1"/>
      <c r="R409" s="1"/>
      <c r="S409" s="1"/>
      <c r="T409" s="1"/>
      <c r="U409" s="1"/>
      <c r="V409" s="1"/>
      <c r="W409" s="1"/>
      <c r="X409" s="1"/>
      <c r="Y409" s="1"/>
    </row>
    <row r="410" customFormat="false" ht="15.75" hidden="false" customHeight="true" outlineLevel="0" collapsed="false">
      <c r="M410" s="1"/>
      <c r="N410" s="1"/>
      <c r="O410" s="1"/>
      <c r="P410" s="1"/>
      <c r="Q410" s="1"/>
      <c r="R410" s="1"/>
      <c r="S410" s="1"/>
      <c r="T410" s="1"/>
      <c r="U410" s="1"/>
      <c r="V410" s="1"/>
      <c r="W410" s="1"/>
      <c r="X410" s="1"/>
      <c r="Y410" s="1"/>
    </row>
    <row r="411" customFormat="false" ht="15.75" hidden="false" customHeight="true" outlineLevel="0" collapsed="false">
      <c r="M411" s="1"/>
      <c r="N411" s="1"/>
      <c r="O411" s="1"/>
      <c r="P411" s="1"/>
      <c r="Q411" s="1"/>
      <c r="R411" s="1"/>
      <c r="S411" s="1"/>
      <c r="T411" s="1"/>
      <c r="U411" s="1"/>
      <c r="V411" s="1"/>
      <c r="W411" s="1"/>
      <c r="X411" s="1"/>
      <c r="Y411" s="1"/>
    </row>
    <row r="412" customFormat="false" ht="15.75" hidden="false" customHeight="true" outlineLevel="0" collapsed="false">
      <c r="M412" s="1"/>
      <c r="N412" s="1"/>
      <c r="O412" s="1"/>
      <c r="P412" s="1"/>
      <c r="Q412" s="1"/>
      <c r="R412" s="1"/>
      <c r="S412" s="1"/>
      <c r="T412" s="1"/>
      <c r="U412" s="1"/>
      <c r="V412" s="1"/>
      <c r="W412" s="1"/>
      <c r="X412" s="1"/>
      <c r="Y412" s="1"/>
    </row>
    <row r="413" customFormat="false" ht="15.75" hidden="false" customHeight="true" outlineLevel="0" collapsed="false">
      <c r="M413" s="1"/>
      <c r="N413" s="1"/>
      <c r="O413" s="1"/>
      <c r="P413" s="1"/>
      <c r="Q413" s="1"/>
      <c r="R413" s="1"/>
      <c r="S413" s="1"/>
      <c r="T413" s="1"/>
      <c r="U413" s="1"/>
      <c r="V413" s="1"/>
      <c r="W413" s="1"/>
      <c r="X413" s="1"/>
      <c r="Y413" s="1"/>
    </row>
    <row r="414" customFormat="false" ht="15.75" hidden="false" customHeight="true" outlineLevel="0" collapsed="false">
      <c r="M414" s="1"/>
      <c r="N414" s="1"/>
      <c r="O414" s="1"/>
      <c r="P414" s="1"/>
      <c r="Q414" s="1"/>
      <c r="R414" s="1"/>
      <c r="S414" s="1"/>
      <c r="T414" s="1"/>
      <c r="U414" s="1"/>
      <c r="V414" s="1"/>
      <c r="W414" s="1"/>
      <c r="X414" s="1"/>
      <c r="Y414" s="1"/>
    </row>
    <row r="415" customFormat="false" ht="15.75" hidden="false" customHeight="true" outlineLevel="0" collapsed="false">
      <c r="M415" s="1"/>
      <c r="N415" s="1"/>
      <c r="O415" s="1"/>
      <c r="P415" s="1"/>
      <c r="Q415" s="1"/>
      <c r="R415" s="1"/>
      <c r="S415" s="1"/>
      <c r="T415" s="1"/>
      <c r="U415" s="1"/>
      <c r="V415" s="1"/>
      <c r="W415" s="1"/>
      <c r="X415" s="1"/>
      <c r="Y415" s="1"/>
    </row>
    <row r="416" customFormat="false" ht="15.75" hidden="false" customHeight="true" outlineLevel="0" collapsed="false">
      <c r="M416" s="1"/>
      <c r="N416" s="1"/>
      <c r="O416" s="1"/>
      <c r="P416" s="1"/>
      <c r="Q416" s="1"/>
      <c r="R416" s="1"/>
      <c r="S416" s="1"/>
      <c r="T416" s="1"/>
      <c r="U416" s="1"/>
      <c r="V416" s="1"/>
      <c r="W416" s="1"/>
      <c r="X416" s="1"/>
      <c r="Y416" s="1"/>
    </row>
    <row r="417" customFormat="false" ht="15.75" hidden="false" customHeight="true" outlineLevel="0" collapsed="false">
      <c r="M417" s="1"/>
      <c r="N417" s="1"/>
      <c r="O417" s="1"/>
      <c r="P417" s="1"/>
      <c r="Q417" s="1"/>
      <c r="R417" s="1"/>
      <c r="S417" s="1"/>
      <c r="T417" s="1"/>
      <c r="U417" s="1"/>
      <c r="V417" s="1"/>
      <c r="W417" s="1"/>
      <c r="X417" s="1"/>
      <c r="Y417" s="1"/>
    </row>
    <row r="418" customFormat="false" ht="15.75" hidden="false" customHeight="true" outlineLevel="0" collapsed="false">
      <c r="M418" s="1"/>
      <c r="N418" s="1"/>
      <c r="O418" s="1"/>
      <c r="P418" s="1"/>
      <c r="Q418" s="1"/>
      <c r="R418" s="1"/>
      <c r="S418" s="1"/>
      <c r="T418" s="1"/>
      <c r="U418" s="1"/>
      <c r="V418" s="1"/>
      <c r="W418" s="1"/>
      <c r="X418" s="1"/>
      <c r="Y418" s="1"/>
    </row>
    <row r="419" customFormat="false" ht="15.75" hidden="false" customHeight="true" outlineLevel="0" collapsed="false">
      <c r="M419" s="1"/>
      <c r="N419" s="1"/>
      <c r="O419" s="1"/>
      <c r="P419" s="1"/>
      <c r="Q419" s="1"/>
      <c r="R419" s="1"/>
      <c r="S419" s="1"/>
      <c r="T419" s="1"/>
      <c r="U419" s="1"/>
      <c r="V419" s="1"/>
      <c r="W419" s="1"/>
      <c r="X419" s="1"/>
      <c r="Y419" s="1"/>
    </row>
    <row r="420" customFormat="false" ht="15.75" hidden="false" customHeight="true" outlineLevel="0" collapsed="false">
      <c r="M420" s="1"/>
      <c r="N420" s="1"/>
      <c r="O420" s="1"/>
      <c r="P420" s="1"/>
      <c r="Q420" s="1"/>
      <c r="R420" s="1"/>
      <c r="S420" s="1"/>
      <c r="T420" s="1"/>
      <c r="U420" s="1"/>
      <c r="V420" s="1"/>
      <c r="W420" s="1"/>
      <c r="X420" s="1"/>
      <c r="Y420" s="1"/>
    </row>
    <row r="421" customFormat="false" ht="15.75" hidden="false" customHeight="true" outlineLevel="0" collapsed="false">
      <c r="M421" s="1"/>
      <c r="N421" s="1"/>
      <c r="O421" s="1"/>
      <c r="P421" s="1"/>
      <c r="Q421" s="1"/>
      <c r="R421" s="1"/>
      <c r="S421" s="1"/>
      <c r="T421" s="1"/>
      <c r="U421" s="1"/>
      <c r="V421" s="1"/>
      <c r="W421" s="1"/>
      <c r="X421" s="1"/>
      <c r="Y421" s="1"/>
    </row>
    <row r="422" customFormat="false" ht="15.75" hidden="false" customHeight="true" outlineLevel="0" collapsed="false">
      <c r="M422" s="1"/>
      <c r="N422" s="1"/>
      <c r="O422" s="1"/>
      <c r="P422" s="1"/>
      <c r="Q422" s="1"/>
      <c r="R422" s="1"/>
      <c r="S422" s="1"/>
      <c r="T422" s="1"/>
      <c r="U422" s="1"/>
      <c r="V422" s="1"/>
      <c r="W422" s="1"/>
      <c r="X422" s="1"/>
      <c r="Y422" s="1"/>
    </row>
    <row r="423" customFormat="false" ht="15.75" hidden="false" customHeight="true" outlineLevel="0" collapsed="false">
      <c r="M423" s="1"/>
      <c r="N423" s="1"/>
      <c r="O423" s="1"/>
      <c r="P423" s="1"/>
      <c r="Q423" s="1"/>
      <c r="R423" s="1"/>
      <c r="S423" s="1"/>
      <c r="T423" s="1"/>
      <c r="U423" s="1"/>
      <c r="V423" s="1"/>
      <c r="W423" s="1"/>
      <c r="X423" s="1"/>
      <c r="Y423" s="1"/>
    </row>
    <row r="424" customFormat="false" ht="15.75" hidden="false" customHeight="true" outlineLevel="0" collapsed="false">
      <c r="M424" s="1"/>
      <c r="N424" s="1"/>
      <c r="O424" s="1"/>
      <c r="P424" s="1"/>
      <c r="Q424" s="1"/>
      <c r="R424" s="1"/>
      <c r="S424" s="1"/>
      <c r="T424" s="1"/>
      <c r="U424" s="1"/>
      <c r="V424" s="1"/>
      <c r="W424" s="1"/>
      <c r="X424" s="1"/>
      <c r="Y424" s="1"/>
    </row>
    <row r="425" customFormat="false" ht="15.75" hidden="false" customHeight="true" outlineLevel="0" collapsed="false">
      <c r="M425" s="1"/>
      <c r="N425" s="1"/>
      <c r="O425" s="1"/>
      <c r="P425" s="1"/>
      <c r="Q425" s="1"/>
      <c r="R425" s="1"/>
      <c r="S425" s="1"/>
      <c r="T425" s="1"/>
      <c r="U425" s="1"/>
      <c r="V425" s="1"/>
      <c r="W425" s="1"/>
      <c r="X425" s="1"/>
      <c r="Y425" s="1"/>
    </row>
    <row r="426" customFormat="false" ht="15.75" hidden="false" customHeight="true" outlineLevel="0" collapsed="false">
      <c r="M426" s="1"/>
      <c r="N426" s="1"/>
      <c r="O426" s="1"/>
      <c r="P426" s="1"/>
      <c r="Q426" s="1"/>
      <c r="R426" s="1"/>
      <c r="S426" s="1"/>
      <c r="T426" s="1"/>
      <c r="U426" s="1"/>
      <c r="V426" s="1"/>
      <c r="W426" s="1"/>
      <c r="X426" s="1"/>
      <c r="Y426" s="1"/>
    </row>
    <row r="427" customFormat="false" ht="15.75" hidden="false" customHeight="true" outlineLevel="0" collapsed="false">
      <c r="M427" s="1"/>
      <c r="N427" s="1"/>
      <c r="O427" s="1"/>
      <c r="P427" s="1"/>
      <c r="Q427" s="1"/>
      <c r="R427" s="1"/>
      <c r="S427" s="1"/>
      <c r="T427" s="1"/>
      <c r="U427" s="1"/>
      <c r="V427" s="1"/>
      <c r="W427" s="1"/>
      <c r="X427" s="1"/>
      <c r="Y427" s="1"/>
    </row>
    <row r="428" customFormat="false" ht="15.75" hidden="false" customHeight="true" outlineLevel="0" collapsed="false">
      <c r="M428" s="1"/>
      <c r="N428" s="1"/>
      <c r="O428" s="1"/>
      <c r="P428" s="1"/>
      <c r="Q428" s="1"/>
      <c r="R428" s="1"/>
      <c r="S428" s="1"/>
      <c r="T428" s="1"/>
      <c r="U428" s="1"/>
      <c r="V428" s="1"/>
      <c r="W428" s="1"/>
      <c r="X428" s="1"/>
      <c r="Y428" s="1"/>
    </row>
    <row r="429" customFormat="false" ht="15.75" hidden="false" customHeight="true" outlineLevel="0" collapsed="false">
      <c r="M429" s="1"/>
      <c r="N429" s="1"/>
      <c r="O429" s="1"/>
      <c r="P429" s="1"/>
      <c r="Q429" s="1"/>
      <c r="R429" s="1"/>
      <c r="S429" s="1"/>
      <c r="T429" s="1"/>
      <c r="U429" s="1"/>
      <c r="V429" s="1"/>
      <c r="W429" s="1"/>
      <c r="X429" s="1"/>
      <c r="Y429" s="1"/>
    </row>
    <row r="430" customFormat="false" ht="15.75" hidden="false" customHeight="true" outlineLevel="0" collapsed="false">
      <c r="M430" s="1"/>
      <c r="N430" s="1"/>
      <c r="O430" s="1"/>
      <c r="P430" s="1"/>
      <c r="Q430" s="1"/>
      <c r="R430" s="1"/>
      <c r="S430" s="1"/>
      <c r="T430" s="1"/>
      <c r="U430" s="1"/>
      <c r="V430" s="1"/>
      <c r="W430" s="1"/>
      <c r="X430" s="1"/>
      <c r="Y430" s="1"/>
    </row>
    <row r="431" customFormat="false" ht="15.75" hidden="false" customHeight="true" outlineLevel="0" collapsed="false">
      <c r="M431" s="1"/>
      <c r="N431" s="1"/>
      <c r="O431" s="1"/>
      <c r="P431" s="1"/>
      <c r="Q431" s="1"/>
      <c r="R431" s="1"/>
      <c r="S431" s="1"/>
      <c r="T431" s="1"/>
      <c r="U431" s="1"/>
      <c r="V431" s="1"/>
      <c r="W431" s="1"/>
      <c r="X431" s="1"/>
      <c r="Y431" s="1"/>
    </row>
    <row r="432" customFormat="false" ht="15.75" hidden="false" customHeight="true" outlineLevel="0" collapsed="false">
      <c r="M432" s="1"/>
      <c r="N432" s="1"/>
      <c r="O432" s="1"/>
      <c r="P432" s="1"/>
      <c r="Q432" s="1"/>
      <c r="R432" s="1"/>
      <c r="S432" s="1"/>
      <c r="T432" s="1"/>
      <c r="U432" s="1"/>
      <c r="V432" s="1"/>
      <c r="W432" s="1"/>
      <c r="X432" s="1"/>
      <c r="Y432" s="1"/>
    </row>
    <row r="433" customFormat="false" ht="15.75" hidden="false" customHeight="true" outlineLevel="0" collapsed="false">
      <c r="M433" s="1"/>
      <c r="N433" s="1"/>
      <c r="O433" s="1"/>
      <c r="P433" s="1"/>
      <c r="Q433" s="1"/>
      <c r="R433" s="1"/>
      <c r="S433" s="1"/>
      <c r="T433" s="1"/>
      <c r="U433" s="1"/>
      <c r="V433" s="1"/>
      <c r="W433" s="1"/>
      <c r="X433" s="1"/>
      <c r="Y433" s="1"/>
    </row>
    <row r="434" customFormat="false" ht="15.75" hidden="false" customHeight="true" outlineLevel="0" collapsed="false">
      <c r="M434" s="1"/>
      <c r="N434" s="1"/>
      <c r="O434" s="1"/>
      <c r="P434" s="1"/>
      <c r="Q434" s="1"/>
      <c r="R434" s="1"/>
      <c r="S434" s="1"/>
      <c r="T434" s="1"/>
      <c r="U434" s="1"/>
      <c r="V434" s="1"/>
      <c r="W434" s="1"/>
      <c r="X434" s="1"/>
      <c r="Y434" s="1"/>
    </row>
    <row r="435" customFormat="false" ht="15.75" hidden="false" customHeight="true" outlineLevel="0" collapsed="false">
      <c r="M435" s="1"/>
      <c r="N435" s="1"/>
      <c r="O435" s="1"/>
      <c r="P435" s="1"/>
      <c r="Q435" s="1"/>
      <c r="R435" s="1"/>
      <c r="S435" s="1"/>
      <c r="T435" s="1"/>
      <c r="U435" s="1"/>
      <c r="V435" s="1"/>
      <c r="W435" s="1"/>
      <c r="X435" s="1"/>
      <c r="Y435" s="1"/>
    </row>
    <row r="436" customFormat="false" ht="15.75" hidden="false" customHeight="true" outlineLevel="0" collapsed="false">
      <c r="M436" s="1"/>
      <c r="N436" s="1"/>
      <c r="O436" s="1"/>
      <c r="P436" s="1"/>
      <c r="Q436" s="1"/>
      <c r="R436" s="1"/>
      <c r="S436" s="1"/>
      <c r="T436" s="1"/>
      <c r="U436" s="1"/>
      <c r="V436" s="1"/>
      <c r="W436" s="1"/>
      <c r="X436" s="1"/>
      <c r="Y436" s="1"/>
    </row>
    <row r="437" customFormat="false" ht="15.75" hidden="false" customHeight="true" outlineLevel="0" collapsed="false">
      <c r="M437" s="1"/>
      <c r="N437" s="1"/>
      <c r="O437" s="1"/>
      <c r="P437" s="1"/>
      <c r="Q437" s="1"/>
      <c r="R437" s="1"/>
      <c r="S437" s="1"/>
      <c r="T437" s="1"/>
      <c r="U437" s="1"/>
      <c r="V437" s="1"/>
      <c r="W437" s="1"/>
      <c r="X437" s="1"/>
      <c r="Y437" s="1"/>
    </row>
    <row r="438" customFormat="false" ht="15.75" hidden="false" customHeight="true" outlineLevel="0" collapsed="false">
      <c r="M438" s="1"/>
      <c r="N438" s="1"/>
      <c r="O438" s="1"/>
      <c r="P438" s="1"/>
      <c r="Q438" s="1"/>
      <c r="R438" s="1"/>
      <c r="S438" s="1"/>
      <c r="T438" s="1"/>
      <c r="U438" s="1"/>
      <c r="V438" s="1"/>
      <c r="W438" s="1"/>
      <c r="X438" s="1"/>
      <c r="Y438" s="1"/>
    </row>
    <row r="439" customFormat="false" ht="15.75" hidden="false" customHeight="true" outlineLevel="0" collapsed="false">
      <c r="M439" s="1"/>
      <c r="N439" s="1"/>
      <c r="O439" s="1"/>
      <c r="P439" s="1"/>
      <c r="Q439" s="1"/>
      <c r="R439" s="1"/>
      <c r="S439" s="1"/>
      <c r="T439" s="1"/>
      <c r="U439" s="1"/>
      <c r="V439" s="1"/>
      <c r="W439" s="1"/>
      <c r="X439" s="1"/>
      <c r="Y439" s="1"/>
    </row>
    <row r="440" customFormat="false" ht="15.75" hidden="false" customHeight="true" outlineLevel="0" collapsed="false">
      <c r="M440" s="1"/>
      <c r="N440" s="1"/>
      <c r="O440" s="1"/>
      <c r="P440" s="1"/>
      <c r="Q440" s="1"/>
      <c r="R440" s="1"/>
      <c r="S440" s="1"/>
      <c r="T440" s="1"/>
      <c r="U440" s="1"/>
      <c r="V440" s="1"/>
      <c r="W440" s="1"/>
      <c r="X440" s="1"/>
      <c r="Y440" s="1"/>
    </row>
    <row r="441" customFormat="false" ht="15.75" hidden="false" customHeight="true" outlineLevel="0" collapsed="false">
      <c r="M441" s="1"/>
      <c r="N441" s="1"/>
      <c r="O441" s="1"/>
      <c r="P441" s="1"/>
      <c r="Q441" s="1"/>
      <c r="R441" s="1"/>
      <c r="S441" s="1"/>
      <c r="T441" s="1"/>
      <c r="U441" s="1"/>
      <c r="V441" s="1"/>
      <c r="W441" s="1"/>
      <c r="X441" s="1"/>
      <c r="Y441" s="1"/>
    </row>
    <row r="442" customFormat="false" ht="15.75" hidden="false" customHeight="true" outlineLevel="0" collapsed="false">
      <c r="M442" s="1"/>
      <c r="N442" s="1"/>
      <c r="O442" s="1"/>
      <c r="P442" s="1"/>
      <c r="Q442" s="1"/>
      <c r="R442" s="1"/>
      <c r="S442" s="1"/>
      <c r="T442" s="1"/>
      <c r="U442" s="1"/>
      <c r="V442" s="1"/>
      <c r="W442" s="1"/>
      <c r="X442" s="1"/>
      <c r="Y442" s="1"/>
    </row>
    <row r="443" customFormat="false" ht="15.75" hidden="false" customHeight="true" outlineLevel="0" collapsed="false">
      <c r="M443" s="1"/>
      <c r="N443" s="1"/>
      <c r="O443" s="1"/>
      <c r="P443" s="1"/>
      <c r="Q443" s="1"/>
      <c r="R443" s="1"/>
      <c r="S443" s="1"/>
      <c r="T443" s="1"/>
      <c r="U443" s="1"/>
      <c r="V443" s="1"/>
      <c r="W443" s="1"/>
      <c r="X443" s="1"/>
      <c r="Y443" s="1"/>
    </row>
    <row r="444" customFormat="false" ht="15.75" hidden="false" customHeight="true" outlineLevel="0" collapsed="false">
      <c r="M444" s="1"/>
      <c r="N444" s="1"/>
      <c r="O444" s="1"/>
      <c r="P444" s="1"/>
      <c r="Q444" s="1"/>
      <c r="R444" s="1"/>
      <c r="S444" s="1"/>
      <c r="T444" s="1"/>
      <c r="U444" s="1"/>
      <c r="V444" s="1"/>
      <c r="W444" s="1"/>
      <c r="X444" s="1"/>
      <c r="Y444" s="1"/>
    </row>
    <row r="445" customFormat="false" ht="15.75" hidden="false" customHeight="true" outlineLevel="0" collapsed="false">
      <c r="M445" s="1"/>
      <c r="N445" s="1"/>
      <c r="O445" s="1"/>
      <c r="P445" s="1"/>
      <c r="Q445" s="1"/>
      <c r="R445" s="1"/>
      <c r="S445" s="1"/>
      <c r="T445" s="1"/>
      <c r="U445" s="1"/>
      <c r="V445" s="1"/>
      <c r="W445" s="1"/>
      <c r="X445" s="1"/>
      <c r="Y445" s="1"/>
    </row>
    <row r="446" customFormat="false" ht="15.75" hidden="false" customHeight="true" outlineLevel="0" collapsed="false">
      <c r="M446" s="1"/>
      <c r="N446" s="1"/>
      <c r="O446" s="1"/>
      <c r="P446" s="1"/>
      <c r="Q446" s="1"/>
      <c r="R446" s="1"/>
      <c r="S446" s="1"/>
      <c r="T446" s="1"/>
      <c r="U446" s="1"/>
      <c r="V446" s="1"/>
      <c r="W446" s="1"/>
      <c r="X446" s="1"/>
      <c r="Y446" s="1"/>
    </row>
    <row r="447" customFormat="false" ht="15.75" hidden="false" customHeight="true" outlineLevel="0" collapsed="false">
      <c r="M447" s="1"/>
      <c r="N447" s="1"/>
      <c r="O447" s="1"/>
      <c r="P447" s="1"/>
      <c r="Q447" s="1"/>
      <c r="R447" s="1"/>
      <c r="S447" s="1"/>
      <c r="T447" s="1"/>
      <c r="U447" s="1"/>
      <c r="V447" s="1"/>
      <c r="W447" s="1"/>
      <c r="X447" s="1"/>
      <c r="Y447" s="1"/>
    </row>
    <row r="448" customFormat="false" ht="15.75" hidden="false" customHeight="true" outlineLevel="0" collapsed="false">
      <c r="M448" s="1"/>
      <c r="N448" s="1"/>
      <c r="O448" s="1"/>
      <c r="P448" s="1"/>
      <c r="Q448" s="1"/>
      <c r="R448" s="1"/>
      <c r="S448" s="1"/>
      <c r="T448" s="1"/>
      <c r="U448" s="1"/>
      <c r="V448" s="1"/>
      <c r="W448" s="1"/>
      <c r="X448" s="1"/>
      <c r="Y448" s="1"/>
    </row>
    <row r="449" customFormat="false" ht="15.75" hidden="false" customHeight="true" outlineLevel="0" collapsed="false">
      <c r="M449" s="1"/>
      <c r="N449" s="1"/>
      <c r="O449" s="1"/>
      <c r="P449" s="1"/>
      <c r="Q449" s="1"/>
      <c r="R449" s="1"/>
      <c r="S449" s="1"/>
      <c r="T449" s="1"/>
      <c r="U449" s="1"/>
      <c r="V449" s="1"/>
      <c r="W449" s="1"/>
      <c r="X449" s="1"/>
      <c r="Y449" s="1"/>
    </row>
    <row r="450" customFormat="false" ht="15.75" hidden="false" customHeight="true" outlineLevel="0" collapsed="false">
      <c r="M450" s="1"/>
      <c r="N450" s="1"/>
      <c r="O450" s="1"/>
      <c r="P450" s="1"/>
      <c r="Q450" s="1"/>
      <c r="R450" s="1"/>
      <c r="S450" s="1"/>
      <c r="T450" s="1"/>
      <c r="U450" s="1"/>
      <c r="V450" s="1"/>
      <c r="W450" s="1"/>
      <c r="X450" s="1"/>
      <c r="Y450" s="1"/>
    </row>
    <row r="451" customFormat="false" ht="15.75" hidden="false" customHeight="true" outlineLevel="0" collapsed="false">
      <c r="M451" s="1"/>
      <c r="N451" s="1"/>
      <c r="O451" s="1"/>
      <c r="P451" s="1"/>
      <c r="Q451" s="1"/>
      <c r="R451" s="1"/>
      <c r="S451" s="1"/>
      <c r="T451" s="1"/>
      <c r="U451" s="1"/>
      <c r="V451" s="1"/>
      <c r="W451" s="1"/>
      <c r="X451" s="1"/>
      <c r="Y451" s="1"/>
    </row>
    <row r="452" customFormat="false" ht="15.75" hidden="false" customHeight="true" outlineLevel="0" collapsed="false">
      <c r="M452" s="1"/>
      <c r="N452" s="1"/>
      <c r="O452" s="1"/>
      <c r="P452" s="1"/>
      <c r="Q452" s="1"/>
      <c r="R452" s="1"/>
      <c r="S452" s="1"/>
      <c r="T452" s="1"/>
      <c r="U452" s="1"/>
      <c r="V452" s="1"/>
      <c r="W452" s="1"/>
      <c r="X452" s="1"/>
      <c r="Y452" s="1"/>
    </row>
    <row r="453" customFormat="false" ht="15.75" hidden="false" customHeight="true" outlineLevel="0" collapsed="false">
      <c r="M453" s="1"/>
      <c r="N453" s="1"/>
      <c r="O453" s="1"/>
      <c r="P453" s="1"/>
      <c r="Q453" s="1"/>
      <c r="R453" s="1"/>
      <c r="S453" s="1"/>
      <c r="T453" s="1"/>
      <c r="U453" s="1"/>
      <c r="V453" s="1"/>
      <c r="W453" s="1"/>
      <c r="X453" s="1"/>
      <c r="Y453" s="1"/>
    </row>
    <row r="454" customFormat="false" ht="15.75" hidden="false" customHeight="true" outlineLevel="0" collapsed="false">
      <c r="M454" s="1"/>
      <c r="N454" s="1"/>
      <c r="O454" s="1"/>
      <c r="P454" s="1"/>
      <c r="Q454" s="1"/>
      <c r="R454" s="1"/>
      <c r="S454" s="1"/>
      <c r="T454" s="1"/>
      <c r="U454" s="1"/>
      <c r="V454" s="1"/>
      <c r="W454" s="1"/>
      <c r="X454" s="1"/>
      <c r="Y454" s="1"/>
    </row>
    <row r="455" customFormat="false" ht="15.75" hidden="false" customHeight="true" outlineLevel="0" collapsed="false">
      <c r="M455" s="1"/>
      <c r="N455" s="1"/>
      <c r="O455" s="1"/>
      <c r="P455" s="1"/>
      <c r="Q455" s="1"/>
      <c r="R455" s="1"/>
      <c r="S455" s="1"/>
      <c r="T455" s="1"/>
      <c r="U455" s="1"/>
      <c r="V455" s="1"/>
      <c r="W455" s="1"/>
      <c r="X455" s="1"/>
      <c r="Y455" s="1"/>
    </row>
    <row r="456" customFormat="false" ht="15.75" hidden="false" customHeight="true" outlineLevel="0" collapsed="false">
      <c r="M456" s="1"/>
      <c r="N456" s="1"/>
      <c r="O456" s="1"/>
      <c r="P456" s="1"/>
      <c r="Q456" s="1"/>
      <c r="R456" s="1"/>
      <c r="S456" s="1"/>
      <c r="T456" s="1"/>
      <c r="U456" s="1"/>
      <c r="V456" s="1"/>
      <c r="W456" s="1"/>
      <c r="X456" s="1"/>
      <c r="Y456" s="1"/>
    </row>
    <row r="457" customFormat="false" ht="15.75" hidden="false" customHeight="true" outlineLevel="0" collapsed="false">
      <c r="M457" s="1"/>
      <c r="N457" s="1"/>
      <c r="O457" s="1"/>
      <c r="P457" s="1"/>
      <c r="Q457" s="1"/>
      <c r="R457" s="1"/>
      <c r="S457" s="1"/>
      <c r="T457" s="1"/>
      <c r="U457" s="1"/>
      <c r="V457" s="1"/>
      <c r="W457" s="1"/>
      <c r="X457" s="1"/>
      <c r="Y457" s="1"/>
    </row>
    <row r="458" customFormat="false" ht="15.75" hidden="false" customHeight="true" outlineLevel="0" collapsed="false">
      <c r="M458" s="1"/>
      <c r="N458" s="1"/>
      <c r="O458" s="1"/>
      <c r="P458" s="1"/>
      <c r="Q458" s="1"/>
      <c r="R458" s="1"/>
      <c r="S458" s="1"/>
      <c r="T458" s="1"/>
      <c r="U458" s="1"/>
      <c r="V458" s="1"/>
      <c r="W458" s="1"/>
      <c r="X458" s="1"/>
      <c r="Y458" s="1"/>
    </row>
    <row r="459" customFormat="false" ht="15.75" hidden="false" customHeight="true" outlineLevel="0" collapsed="false">
      <c r="M459" s="1"/>
      <c r="N459" s="1"/>
      <c r="O459" s="1"/>
      <c r="P459" s="1"/>
      <c r="Q459" s="1"/>
      <c r="R459" s="1"/>
      <c r="S459" s="1"/>
      <c r="T459" s="1"/>
      <c r="U459" s="1"/>
      <c r="V459" s="1"/>
      <c r="W459" s="1"/>
      <c r="X459" s="1"/>
      <c r="Y459" s="1"/>
    </row>
    <row r="460" customFormat="false" ht="15.75" hidden="false" customHeight="true" outlineLevel="0" collapsed="false">
      <c r="M460" s="1"/>
      <c r="N460" s="1"/>
      <c r="O460" s="1"/>
      <c r="P460" s="1"/>
      <c r="Q460" s="1"/>
      <c r="R460" s="1"/>
      <c r="S460" s="1"/>
      <c r="T460" s="1"/>
      <c r="U460" s="1"/>
      <c r="V460" s="1"/>
      <c r="W460" s="1"/>
      <c r="X460" s="1"/>
      <c r="Y460" s="1"/>
    </row>
    <row r="461" customFormat="false" ht="15.75" hidden="false" customHeight="true" outlineLevel="0" collapsed="false">
      <c r="M461" s="1"/>
      <c r="N461" s="1"/>
      <c r="O461" s="1"/>
      <c r="P461" s="1"/>
      <c r="Q461" s="1"/>
      <c r="R461" s="1"/>
      <c r="S461" s="1"/>
      <c r="T461" s="1"/>
      <c r="U461" s="1"/>
      <c r="V461" s="1"/>
      <c r="W461" s="1"/>
      <c r="X461" s="1"/>
      <c r="Y461" s="1"/>
    </row>
    <row r="462" customFormat="false" ht="15.75" hidden="false" customHeight="true" outlineLevel="0" collapsed="false">
      <c r="M462" s="1"/>
      <c r="N462" s="1"/>
      <c r="O462" s="1"/>
      <c r="P462" s="1"/>
      <c r="Q462" s="1"/>
      <c r="R462" s="1"/>
      <c r="S462" s="1"/>
      <c r="T462" s="1"/>
      <c r="U462" s="1"/>
      <c r="V462" s="1"/>
      <c r="W462" s="1"/>
      <c r="X462" s="1"/>
      <c r="Y462" s="1"/>
    </row>
    <row r="463" customFormat="false" ht="15.75" hidden="false" customHeight="true" outlineLevel="0" collapsed="false">
      <c r="M463" s="1"/>
      <c r="N463" s="1"/>
      <c r="O463" s="1"/>
      <c r="P463" s="1"/>
      <c r="Q463" s="1"/>
      <c r="R463" s="1"/>
      <c r="S463" s="1"/>
      <c r="T463" s="1"/>
      <c r="U463" s="1"/>
      <c r="V463" s="1"/>
      <c r="W463" s="1"/>
      <c r="X463" s="1"/>
      <c r="Y463" s="1"/>
    </row>
    <row r="464" customFormat="false" ht="15.75" hidden="false" customHeight="true" outlineLevel="0" collapsed="false">
      <c r="M464" s="1"/>
      <c r="N464" s="1"/>
      <c r="O464" s="1"/>
      <c r="P464" s="1"/>
      <c r="Q464" s="1"/>
      <c r="R464" s="1"/>
      <c r="S464" s="1"/>
      <c r="T464" s="1"/>
      <c r="U464" s="1"/>
      <c r="V464" s="1"/>
      <c r="W464" s="1"/>
      <c r="X464" s="1"/>
      <c r="Y464" s="1"/>
    </row>
    <row r="465" customFormat="false" ht="15.75" hidden="false" customHeight="true" outlineLevel="0" collapsed="false">
      <c r="M465" s="1"/>
      <c r="N465" s="1"/>
      <c r="O465" s="1"/>
      <c r="P465" s="1"/>
      <c r="Q465" s="1"/>
      <c r="R465" s="1"/>
      <c r="S465" s="1"/>
      <c r="T465" s="1"/>
      <c r="U465" s="1"/>
      <c r="V465" s="1"/>
      <c r="W465" s="1"/>
      <c r="X465" s="1"/>
      <c r="Y465" s="1"/>
    </row>
    <row r="466" customFormat="false" ht="15.75" hidden="false" customHeight="true" outlineLevel="0" collapsed="false">
      <c r="M466" s="1"/>
      <c r="N466" s="1"/>
      <c r="O466" s="1"/>
      <c r="P466" s="1"/>
      <c r="Q466" s="1"/>
      <c r="R466" s="1"/>
      <c r="S466" s="1"/>
      <c r="T466" s="1"/>
      <c r="U466" s="1"/>
      <c r="V466" s="1"/>
      <c r="W466" s="1"/>
      <c r="X466" s="1"/>
      <c r="Y466" s="1"/>
    </row>
    <row r="467" customFormat="false" ht="15.75" hidden="false" customHeight="true" outlineLevel="0" collapsed="false">
      <c r="M467" s="1"/>
      <c r="N467" s="1"/>
      <c r="O467" s="1"/>
      <c r="P467" s="1"/>
      <c r="Q467" s="1"/>
      <c r="R467" s="1"/>
      <c r="S467" s="1"/>
      <c r="T467" s="1"/>
      <c r="U467" s="1"/>
      <c r="V467" s="1"/>
      <c r="W467" s="1"/>
      <c r="X467" s="1"/>
      <c r="Y467" s="1"/>
    </row>
    <row r="468" customFormat="false" ht="15.75" hidden="false" customHeight="true" outlineLevel="0" collapsed="false">
      <c r="M468" s="1"/>
      <c r="N468" s="1"/>
      <c r="O468" s="1"/>
      <c r="P468" s="1"/>
      <c r="Q468" s="1"/>
      <c r="R468" s="1"/>
      <c r="S468" s="1"/>
      <c r="T468" s="1"/>
      <c r="U468" s="1"/>
      <c r="V468" s="1"/>
      <c r="W468" s="1"/>
      <c r="X468" s="1"/>
      <c r="Y468" s="1"/>
    </row>
    <row r="469" customFormat="false" ht="15.75" hidden="false" customHeight="true" outlineLevel="0" collapsed="false">
      <c r="M469" s="1"/>
      <c r="N469" s="1"/>
      <c r="O469" s="1"/>
      <c r="P469" s="1"/>
      <c r="Q469" s="1"/>
      <c r="R469" s="1"/>
      <c r="S469" s="1"/>
      <c r="T469" s="1"/>
      <c r="U469" s="1"/>
      <c r="V469" s="1"/>
      <c r="W469" s="1"/>
      <c r="X469" s="1"/>
      <c r="Y469" s="1"/>
    </row>
    <row r="470" customFormat="false" ht="15.75" hidden="false" customHeight="true" outlineLevel="0" collapsed="false">
      <c r="M470" s="1"/>
      <c r="N470" s="1"/>
      <c r="O470" s="1"/>
      <c r="P470" s="1"/>
      <c r="Q470" s="1"/>
      <c r="R470" s="1"/>
      <c r="S470" s="1"/>
      <c r="T470" s="1"/>
      <c r="U470" s="1"/>
      <c r="V470" s="1"/>
      <c r="W470" s="1"/>
      <c r="X470" s="1"/>
      <c r="Y470" s="1"/>
    </row>
    <row r="471" customFormat="false" ht="15.75" hidden="false" customHeight="true" outlineLevel="0" collapsed="false">
      <c r="M471" s="1"/>
      <c r="N471" s="1"/>
      <c r="O471" s="1"/>
      <c r="P471" s="1"/>
      <c r="Q471" s="1"/>
      <c r="R471" s="1"/>
      <c r="S471" s="1"/>
      <c r="T471" s="1"/>
      <c r="U471" s="1"/>
      <c r="V471" s="1"/>
      <c r="W471" s="1"/>
      <c r="X471" s="1"/>
      <c r="Y471" s="1"/>
    </row>
    <row r="472" customFormat="false" ht="15.75" hidden="false" customHeight="true" outlineLevel="0" collapsed="false">
      <c r="M472" s="1"/>
      <c r="N472" s="1"/>
      <c r="O472" s="1"/>
      <c r="P472" s="1"/>
      <c r="Q472" s="1"/>
      <c r="R472" s="1"/>
      <c r="S472" s="1"/>
      <c r="T472" s="1"/>
      <c r="U472" s="1"/>
      <c r="V472" s="1"/>
      <c r="W472" s="1"/>
      <c r="X472" s="1"/>
      <c r="Y472" s="1"/>
    </row>
    <row r="473" customFormat="false" ht="15.75" hidden="false" customHeight="true" outlineLevel="0" collapsed="false">
      <c r="M473" s="1"/>
      <c r="N473" s="1"/>
      <c r="O473" s="1"/>
      <c r="P473" s="1"/>
      <c r="Q473" s="1"/>
      <c r="R473" s="1"/>
      <c r="S473" s="1"/>
      <c r="T473" s="1"/>
      <c r="U473" s="1"/>
      <c r="V473" s="1"/>
      <c r="W473" s="1"/>
      <c r="X473" s="1"/>
      <c r="Y473" s="1"/>
    </row>
    <row r="474" customFormat="false" ht="15.75" hidden="false" customHeight="true" outlineLevel="0" collapsed="false">
      <c r="M474" s="1"/>
      <c r="N474" s="1"/>
      <c r="O474" s="1"/>
      <c r="P474" s="1"/>
      <c r="Q474" s="1"/>
      <c r="R474" s="1"/>
      <c r="S474" s="1"/>
      <c r="T474" s="1"/>
      <c r="U474" s="1"/>
      <c r="V474" s="1"/>
      <c r="W474" s="1"/>
      <c r="X474" s="1"/>
      <c r="Y474" s="1"/>
    </row>
    <row r="475" customFormat="false" ht="15.75" hidden="false" customHeight="true" outlineLevel="0" collapsed="false">
      <c r="M475" s="1"/>
      <c r="N475" s="1"/>
      <c r="O475" s="1"/>
      <c r="P475" s="1"/>
      <c r="Q475" s="1"/>
      <c r="R475" s="1"/>
      <c r="S475" s="1"/>
      <c r="T475" s="1"/>
      <c r="U475" s="1"/>
      <c r="V475" s="1"/>
      <c r="W475" s="1"/>
      <c r="X475" s="1"/>
      <c r="Y475" s="1"/>
    </row>
    <row r="476" customFormat="false" ht="15.75" hidden="false" customHeight="true" outlineLevel="0" collapsed="false">
      <c r="M476" s="1"/>
      <c r="N476" s="1"/>
      <c r="O476" s="1"/>
      <c r="P476" s="1"/>
      <c r="Q476" s="1"/>
      <c r="R476" s="1"/>
      <c r="S476" s="1"/>
      <c r="T476" s="1"/>
      <c r="U476" s="1"/>
      <c r="V476" s="1"/>
      <c r="W476" s="1"/>
      <c r="X476" s="1"/>
      <c r="Y476" s="1"/>
    </row>
    <row r="477" customFormat="false" ht="15.75" hidden="false" customHeight="true" outlineLevel="0" collapsed="false">
      <c r="M477" s="1"/>
      <c r="N477" s="1"/>
      <c r="O477" s="1"/>
      <c r="P477" s="1"/>
      <c r="Q477" s="1"/>
      <c r="R477" s="1"/>
      <c r="S477" s="1"/>
      <c r="T477" s="1"/>
      <c r="U477" s="1"/>
      <c r="V477" s="1"/>
      <c r="W477" s="1"/>
      <c r="X477" s="1"/>
      <c r="Y477" s="1"/>
    </row>
    <row r="478" customFormat="false" ht="15.75" hidden="false" customHeight="true" outlineLevel="0" collapsed="false">
      <c r="M478" s="1"/>
      <c r="N478" s="1"/>
      <c r="O478" s="1"/>
      <c r="P478" s="1"/>
      <c r="Q478" s="1"/>
      <c r="R478" s="1"/>
      <c r="S478" s="1"/>
      <c r="T478" s="1"/>
      <c r="U478" s="1"/>
      <c r="V478" s="1"/>
      <c r="W478" s="1"/>
      <c r="X478" s="1"/>
      <c r="Y478" s="1"/>
    </row>
    <row r="479" customFormat="false" ht="15.75" hidden="false" customHeight="true" outlineLevel="0" collapsed="false">
      <c r="M479" s="1"/>
      <c r="N479" s="1"/>
      <c r="O479" s="1"/>
      <c r="P479" s="1"/>
      <c r="Q479" s="1"/>
      <c r="R479" s="1"/>
      <c r="S479" s="1"/>
      <c r="T479" s="1"/>
      <c r="U479" s="1"/>
      <c r="V479" s="1"/>
      <c r="W479" s="1"/>
      <c r="X479" s="1"/>
      <c r="Y479" s="1"/>
    </row>
    <row r="480" customFormat="false" ht="15.75" hidden="false" customHeight="true" outlineLevel="0" collapsed="false">
      <c r="M480" s="1"/>
      <c r="N480" s="1"/>
      <c r="O480" s="1"/>
      <c r="P480" s="1"/>
      <c r="Q480" s="1"/>
      <c r="R480" s="1"/>
      <c r="S480" s="1"/>
      <c r="T480" s="1"/>
      <c r="U480" s="1"/>
      <c r="V480" s="1"/>
      <c r="W480" s="1"/>
      <c r="X480" s="1"/>
      <c r="Y480" s="1"/>
    </row>
    <row r="481" customFormat="false" ht="15.75" hidden="false" customHeight="true" outlineLevel="0" collapsed="false">
      <c r="M481" s="1"/>
      <c r="N481" s="1"/>
      <c r="O481" s="1"/>
      <c r="P481" s="1"/>
      <c r="Q481" s="1"/>
      <c r="R481" s="1"/>
      <c r="S481" s="1"/>
      <c r="T481" s="1"/>
      <c r="U481" s="1"/>
      <c r="V481" s="1"/>
      <c r="W481" s="1"/>
      <c r="X481" s="1"/>
      <c r="Y481" s="1"/>
    </row>
    <row r="482" customFormat="false" ht="15.75" hidden="false" customHeight="true" outlineLevel="0" collapsed="false">
      <c r="M482" s="1"/>
      <c r="N482" s="1"/>
      <c r="O482" s="1"/>
      <c r="P482" s="1"/>
      <c r="Q482" s="1"/>
      <c r="R482" s="1"/>
      <c r="S482" s="1"/>
      <c r="T482" s="1"/>
      <c r="U482" s="1"/>
      <c r="V482" s="1"/>
      <c r="W482" s="1"/>
      <c r="X482" s="1"/>
      <c r="Y482" s="1"/>
    </row>
    <row r="483" customFormat="false" ht="15.75" hidden="false" customHeight="true" outlineLevel="0" collapsed="false">
      <c r="M483" s="1"/>
      <c r="N483" s="1"/>
      <c r="O483" s="1"/>
      <c r="P483" s="1"/>
      <c r="Q483" s="1"/>
      <c r="R483" s="1"/>
      <c r="S483" s="1"/>
      <c r="T483" s="1"/>
      <c r="U483" s="1"/>
      <c r="V483" s="1"/>
      <c r="W483" s="1"/>
      <c r="X483" s="1"/>
      <c r="Y483" s="1"/>
    </row>
    <row r="484" customFormat="false" ht="15.75" hidden="false" customHeight="true" outlineLevel="0" collapsed="false">
      <c r="M484" s="1"/>
      <c r="N484" s="1"/>
      <c r="O484" s="1"/>
      <c r="P484" s="1"/>
      <c r="Q484" s="1"/>
      <c r="R484" s="1"/>
      <c r="S484" s="1"/>
      <c r="T484" s="1"/>
      <c r="U484" s="1"/>
      <c r="V484" s="1"/>
      <c r="W484" s="1"/>
      <c r="X484" s="1"/>
      <c r="Y484" s="1"/>
    </row>
    <row r="485" customFormat="false" ht="15.75" hidden="false" customHeight="true" outlineLevel="0" collapsed="false">
      <c r="M485" s="1"/>
      <c r="N485" s="1"/>
      <c r="O485" s="1"/>
      <c r="P485" s="1"/>
      <c r="Q485" s="1"/>
      <c r="R485" s="1"/>
      <c r="S485" s="1"/>
      <c r="T485" s="1"/>
      <c r="U485" s="1"/>
      <c r="V485" s="1"/>
      <c r="W485" s="1"/>
      <c r="X485" s="1"/>
      <c r="Y485" s="1"/>
    </row>
    <row r="486" customFormat="false" ht="15.75" hidden="false" customHeight="true" outlineLevel="0" collapsed="false">
      <c r="M486" s="1"/>
      <c r="N486" s="1"/>
      <c r="O486" s="1"/>
      <c r="P486" s="1"/>
      <c r="Q486" s="1"/>
      <c r="R486" s="1"/>
      <c r="S486" s="1"/>
      <c r="T486" s="1"/>
      <c r="U486" s="1"/>
      <c r="V486" s="1"/>
      <c r="W486" s="1"/>
      <c r="X486" s="1"/>
      <c r="Y486" s="1"/>
    </row>
    <row r="487" customFormat="false" ht="15.75" hidden="false" customHeight="true" outlineLevel="0" collapsed="false">
      <c r="M487" s="1"/>
      <c r="N487" s="1"/>
      <c r="O487" s="1"/>
      <c r="P487" s="1"/>
      <c r="Q487" s="1"/>
      <c r="R487" s="1"/>
      <c r="S487" s="1"/>
      <c r="T487" s="1"/>
      <c r="U487" s="1"/>
      <c r="V487" s="1"/>
      <c r="W487" s="1"/>
      <c r="X487" s="1"/>
      <c r="Y487" s="1"/>
    </row>
    <row r="488" customFormat="false" ht="15.75" hidden="false" customHeight="true" outlineLevel="0" collapsed="false">
      <c r="M488" s="1"/>
      <c r="N488" s="1"/>
      <c r="O488" s="1"/>
      <c r="P488" s="1"/>
      <c r="Q488" s="1"/>
      <c r="R488" s="1"/>
      <c r="S488" s="1"/>
      <c r="T488" s="1"/>
      <c r="U488" s="1"/>
      <c r="V488" s="1"/>
      <c r="W488" s="1"/>
      <c r="X488" s="1"/>
      <c r="Y488" s="1"/>
    </row>
    <row r="489" customFormat="false" ht="15.75" hidden="false" customHeight="true" outlineLevel="0" collapsed="false">
      <c r="M489" s="1"/>
      <c r="N489" s="1"/>
      <c r="O489" s="1"/>
      <c r="P489" s="1"/>
      <c r="Q489" s="1"/>
      <c r="R489" s="1"/>
      <c r="S489" s="1"/>
      <c r="T489" s="1"/>
      <c r="U489" s="1"/>
      <c r="V489" s="1"/>
      <c r="W489" s="1"/>
      <c r="X489" s="1"/>
      <c r="Y489" s="1"/>
    </row>
    <row r="490" customFormat="false" ht="15.75" hidden="false" customHeight="true" outlineLevel="0" collapsed="false">
      <c r="M490" s="1"/>
      <c r="N490" s="1"/>
      <c r="O490" s="1"/>
      <c r="P490" s="1"/>
      <c r="Q490" s="1"/>
      <c r="R490" s="1"/>
      <c r="S490" s="1"/>
      <c r="T490" s="1"/>
      <c r="U490" s="1"/>
      <c r="V490" s="1"/>
      <c r="W490" s="1"/>
      <c r="X490" s="1"/>
      <c r="Y490" s="1"/>
    </row>
    <row r="491" customFormat="false" ht="15.75" hidden="false" customHeight="true" outlineLevel="0" collapsed="false">
      <c r="M491" s="1"/>
      <c r="N491" s="1"/>
      <c r="O491" s="1"/>
      <c r="P491" s="1"/>
      <c r="Q491" s="1"/>
      <c r="R491" s="1"/>
      <c r="S491" s="1"/>
      <c r="T491" s="1"/>
      <c r="U491" s="1"/>
      <c r="V491" s="1"/>
      <c r="W491" s="1"/>
      <c r="X491" s="1"/>
      <c r="Y491" s="1"/>
    </row>
    <row r="492" customFormat="false" ht="15.75" hidden="false" customHeight="true" outlineLevel="0" collapsed="false">
      <c r="M492" s="1"/>
      <c r="N492" s="1"/>
      <c r="O492" s="1"/>
      <c r="P492" s="1"/>
      <c r="Q492" s="1"/>
      <c r="R492" s="1"/>
      <c r="S492" s="1"/>
      <c r="T492" s="1"/>
      <c r="U492" s="1"/>
      <c r="V492" s="1"/>
      <c r="W492" s="1"/>
      <c r="X492" s="1"/>
      <c r="Y492" s="1"/>
    </row>
    <row r="493" customFormat="false" ht="15.75" hidden="false" customHeight="true" outlineLevel="0" collapsed="false">
      <c r="M493" s="1"/>
      <c r="N493" s="1"/>
      <c r="O493" s="1"/>
      <c r="P493" s="1"/>
      <c r="Q493" s="1"/>
      <c r="R493" s="1"/>
      <c r="S493" s="1"/>
      <c r="T493" s="1"/>
      <c r="U493" s="1"/>
      <c r="V493" s="1"/>
      <c r="W493" s="1"/>
      <c r="X493" s="1"/>
      <c r="Y493" s="1"/>
    </row>
    <row r="494" customFormat="false" ht="15.75" hidden="false" customHeight="true" outlineLevel="0" collapsed="false">
      <c r="M494" s="1"/>
      <c r="N494" s="1"/>
      <c r="O494" s="1"/>
      <c r="P494" s="1"/>
      <c r="Q494" s="1"/>
      <c r="R494" s="1"/>
      <c r="S494" s="1"/>
      <c r="T494" s="1"/>
      <c r="U494" s="1"/>
      <c r="V494" s="1"/>
      <c r="W494" s="1"/>
      <c r="X494" s="1"/>
      <c r="Y494" s="1"/>
    </row>
    <row r="495" customFormat="false" ht="15.75" hidden="false" customHeight="true" outlineLevel="0" collapsed="false">
      <c r="M495" s="1"/>
      <c r="N495" s="1"/>
      <c r="O495" s="1"/>
      <c r="P495" s="1"/>
      <c r="Q495" s="1"/>
      <c r="R495" s="1"/>
      <c r="S495" s="1"/>
      <c r="T495" s="1"/>
      <c r="U495" s="1"/>
      <c r="V495" s="1"/>
      <c r="W495" s="1"/>
      <c r="X495" s="1"/>
      <c r="Y495" s="1"/>
    </row>
    <row r="496" customFormat="false" ht="15.75" hidden="false" customHeight="true" outlineLevel="0" collapsed="false">
      <c r="M496" s="1"/>
      <c r="N496" s="1"/>
      <c r="O496" s="1"/>
      <c r="P496" s="1"/>
      <c r="Q496" s="1"/>
      <c r="R496" s="1"/>
      <c r="S496" s="1"/>
      <c r="T496" s="1"/>
      <c r="U496" s="1"/>
      <c r="V496" s="1"/>
      <c r="W496" s="1"/>
      <c r="X496" s="1"/>
      <c r="Y496" s="1"/>
    </row>
    <row r="497" customFormat="false" ht="15.75" hidden="false" customHeight="true" outlineLevel="0" collapsed="false">
      <c r="M497" s="1"/>
      <c r="N497" s="1"/>
      <c r="O497" s="1"/>
      <c r="P497" s="1"/>
      <c r="Q497" s="1"/>
      <c r="R497" s="1"/>
      <c r="S497" s="1"/>
      <c r="T497" s="1"/>
      <c r="U497" s="1"/>
      <c r="V497" s="1"/>
      <c r="W497" s="1"/>
      <c r="X497" s="1"/>
      <c r="Y497" s="1"/>
    </row>
    <row r="498" customFormat="false" ht="15.75" hidden="false" customHeight="true" outlineLevel="0" collapsed="false">
      <c r="M498" s="1"/>
      <c r="N498" s="1"/>
      <c r="O498" s="1"/>
      <c r="P498" s="1"/>
      <c r="Q498" s="1"/>
      <c r="R498" s="1"/>
      <c r="S498" s="1"/>
      <c r="T498" s="1"/>
      <c r="U498" s="1"/>
      <c r="V498" s="1"/>
      <c r="W498" s="1"/>
      <c r="X498" s="1"/>
      <c r="Y498" s="1"/>
    </row>
    <row r="499" customFormat="false" ht="15.75" hidden="false" customHeight="true" outlineLevel="0" collapsed="false">
      <c r="M499" s="1"/>
      <c r="N499" s="1"/>
      <c r="O499" s="1"/>
      <c r="P499" s="1"/>
      <c r="Q499" s="1"/>
      <c r="R499" s="1"/>
      <c r="S499" s="1"/>
      <c r="T499" s="1"/>
      <c r="U499" s="1"/>
      <c r="V499" s="1"/>
      <c r="W499" s="1"/>
      <c r="X499" s="1"/>
      <c r="Y499" s="1"/>
    </row>
    <row r="500" customFormat="false" ht="15.75" hidden="false" customHeight="true" outlineLevel="0" collapsed="false">
      <c r="M500" s="1"/>
      <c r="N500" s="1"/>
      <c r="O500" s="1"/>
      <c r="P500" s="1"/>
      <c r="Q500" s="1"/>
      <c r="R500" s="1"/>
      <c r="S500" s="1"/>
      <c r="T500" s="1"/>
      <c r="U500" s="1"/>
      <c r="V500" s="1"/>
      <c r="W500" s="1"/>
      <c r="X500" s="1"/>
      <c r="Y500" s="1"/>
    </row>
    <row r="501" customFormat="false" ht="15.75" hidden="false" customHeight="true" outlineLevel="0" collapsed="false">
      <c r="M501" s="1"/>
      <c r="N501" s="1"/>
      <c r="O501" s="1"/>
      <c r="P501" s="1"/>
      <c r="Q501" s="1"/>
      <c r="R501" s="1"/>
      <c r="S501" s="1"/>
      <c r="T501" s="1"/>
      <c r="U501" s="1"/>
      <c r="V501" s="1"/>
      <c r="W501" s="1"/>
      <c r="X501" s="1"/>
      <c r="Y501" s="1"/>
    </row>
    <row r="502" customFormat="false" ht="15.75" hidden="false" customHeight="true" outlineLevel="0" collapsed="false">
      <c r="M502" s="1"/>
      <c r="N502" s="1"/>
      <c r="O502" s="1"/>
      <c r="P502" s="1"/>
      <c r="Q502" s="1"/>
      <c r="R502" s="1"/>
      <c r="S502" s="1"/>
      <c r="T502" s="1"/>
      <c r="U502" s="1"/>
      <c r="V502" s="1"/>
      <c r="W502" s="1"/>
      <c r="X502" s="1"/>
      <c r="Y502" s="1"/>
    </row>
    <row r="503" customFormat="false" ht="15.75" hidden="false" customHeight="true" outlineLevel="0" collapsed="false">
      <c r="M503" s="1"/>
      <c r="N503" s="1"/>
      <c r="O503" s="1"/>
      <c r="P503" s="1"/>
      <c r="Q503" s="1"/>
      <c r="R503" s="1"/>
      <c r="S503" s="1"/>
      <c r="T503" s="1"/>
      <c r="U503" s="1"/>
      <c r="V503" s="1"/>
      <c r="W503" s="1"/>
      <c r="X503" s="1"/>
      <c r="Y503" s="1"/>
    </row>
    <row r="504" customFormat="false" ht="15.75" hidden="false" customHeight="true" outlineLevel="0" collapsed="false">
      <c r="M504" s="1"/>
      <c r="N504" s="1"/>
      <c r="O504" s="1"/>
      <c r="P504" s="1"/>
      <c r="Q504" s="1"/>
      <c r="R504" s="1"/>
      <c r="S504" s="1"/>
      <c r="T504" s="1"/>
      <c r="U504" s="1"/>
      <c r="V504" s="1"/>
      <c r="W504" s="1"/>
      <c r="X504" s="1"/>
      <c r="Y504" s="1"/>
    </row>
    <row r="505" customFormat="false" ht="15.75" hidden="false" customHeight="true" outlineLevel="0" collapsed="false">
      <c r="M505" s="1"/>
      <c r="N505" s="1"/>
      <c r="O505" s="1"/>
      <c r="P505" s="1"/>
      <c r="Q505" s="1"/>
      <c r="R505" s="1"/>
      <c r="S505" s="1"/>
      <c r="T505" s="1"/>
      <c r="U505" s="1"/>
      <c r="V505" s="1"/>
      <c r="W505" s="1"/>
      <c r="X505" s="1"/>
      <c r="Y505" s="1"/>
    </row>
    <row r="506" customFormat="false" ht="15.75" hidden="false" customHeight="true" outlineLevel="0" collapsed="false">
      <c r="M506" s="1"/>
      <c r="N506" s="1"/>
      <c r="O506" s="1"/>
      <c r="P506" s="1"/>
      <c r="Q506" s="1"/>
      <c r="R506" s="1"/>
      <c r="S506" s="1"/>
      <c r="T506" s="1"/>
      <c r="U506" s="1"/>
      <c r="V506" s="1"/>
      <c r="W506" s="1"/>
      <c r="X506" s="1"/>
      <c r="Y506" s="1"/>
    </row>
    <row r="507" customFormat="false" ht="15.75" hidden="false" customHeight="true" outlineLevel="0" collapsed="false">
      <c r="M507" s="1"/>
      <c r="N507" s="1"/>
      <c r="O507" s="1"/>
      <c r="P507" s="1"/>
      <c r="Q507" s="1"/>
      <c r="R507" s="1"/>
      <c r="S507" s="1"/>
      <c r="T507" s="1"/>
      <c r="U507" s="1"/>
      <c r="V507" s="1"/>
      <c r="W507" s="1"/>
      <c r="X507" s="1"/>
      <c r="Y507" s="1"/>
    </row>
    <row r="508" customFormat="false" ht="15.75" hidden="false" customHeight="true" outlineLevel="0" collapsed="false">
      <c r="M508" s="1"/>
      <c r="N508" s="1"/>
      <c r="O508" s="1"/>
      <c r="P508" s="1"/>
      <c r="Q508" s="1"/>
      <c r="R508" s="1"/>
      <c r="S508" s="1"/>
      <c r="T508" s="1"/>
      <c r="U508" s="1"/>
      <c r="V508" s="1"/>
      <c r="W508" s="1"/>
      <c r="X508" s="1"/>
      <c r="Y508" s="1"/>
    </row>
    <row r="509" customFormat="false" ht="15.75" hidden="false" customHeight="true" outlineLevel="0" collapsed="false">
      <c r="M509" s="1"/>
      <c r="N509" s="1"/>
      <c r="O509" s="1"/>
      <c r="P509" s="1"/>
      <c r="Q509" s="1"/>
      <c r="R509" s="1"/>
      <c r="S509" s="1"/>
      <c r="T509" s="1"/>
      <c r="U509" s="1"/>
      <c r="V509" s="1"/>
      <c r="W509" s="1"/>
      <c r="X509" s="1"/>
      <c r="Y509" s="1"/>
    </row>
    <row r="510" customFormat="false" ht="15.75" hidden="false" customHeight="true" outlineLevel="0" collapsed="false">
      <c r="M510" s="1"/>
      <c r="N510" s="1"/>
      <c r="O510" s="1"/>
      <c r="P510" s="1"/>
      <c r="Q510" s="1"/>
      <c r="R510" s="1"/>
      <c r="S510" s="1"/>
      <c r="T510" s="1"/>
      <c r="U510" s="1"/>
      <c r="V510" s="1"/>
      <c r="W510" s="1"/>
      <c r="X510" s="1"/>
      <c r="Y510" s="1"/>
    </row>
    <row r="511" customFormat="false" ht="15.75" hidden="false" customHeight="true" outlineLevel="0" collapsed="false">
      <c r="M511" s="1"/>
      <c r="N511" s="1"/>
      <c r="O511" s="1"/>
      <c r="P511" s="1"/>
      <c r="Q511" s="1"/>
      <c r="R511" s="1"/>
      <c r="S511" s="1"/>
      <c r="T511" s="1"/>
      <c r="U511" s="1"/>
      <c r="V511" s="1"/>
      <c r="W511" s="1"/>
      <c r="X511" s="1"/>
      <c r="Y511" s="1"/>
    </row>
    <row r="512" customFormat="false" ht="15.75" hidden="false" customHeight="true" outlineLevel="0" collapsed="false">
      <c r="M512" s="1"/>
      <c r="N512" s="1"/>
      <c r="O512" s="1"/>
      <c r="P512" s="1"/>
      <c r="Q512" s="1"/>
      <c r="R512" s="1"/>
      <c r="S512" s="1"/>
      <c r="T512" s="1"/>
      <c r="U512" s="1"/>
      <c r="V512" s="1"/>
      <c r="W512" s="1"/>
      <c r="X512" s="1"/>
      <c r="Y512" s="1"/>
    </row>
    <row r="513" customFormat="false" ht="15.75" hidden="false" customHeight="true" outlineLevel="0" collapsed="false">
      <c r="M513" s="1"/>
      <c r="N513" s="1"/>
      <c r="O513" s="1"/>
      <c r="P513" s="1"/>
      <c r="Q513" s="1"/>
      <c r="R513" s="1"/>
      <c r="S513" s="1"/>
      <c r="T513" s="1"/>
      <c r="U513" s="1"/>
      <c r="V513" s="1"/>
      <c r="W513" s="1"/>
      <c r="X513" s="1"/>
      <c r="Y513" s="1"/>
    </row>
    <row r="514" customFormat="false" ht="15.75" hidden="false" customHeight="true" outlineLevel="0" collapsed="false">
      <c r="M514" s="1"/>
      <c r="N514" s="1"/>
      <c r="O514" s="1"/>
      <c r="P514" s="1"/>
      <c r="Q514" s="1"/>
      <c r="R514" s="1"/>
      <c r="S514" s="1"/>
      <c r="T514" s="1"/>
      <c r="U514" s="1"/>
      <c r="V514" s="1"/>
      <c r="W514" s="1"/>
      <c r="X514" s="1"/>
      <c r="Y514" s="1"/>
    </row>
    <row r="515" customFormat="false" ht="15.75" hidden="false" customHeight="true" outlineLevel="0" collapsed="false">
      <c r="M515" s="1"/>
      <c r="N515" s="1"/>
      <c r="O515" s="1"/>
      <c r="P515" s="1"/>
      <c r="Q515" s="1"/>
      <c r="R515" s="1"/>
      <c r="S515" s="1"/>
      <c r="T515" s="1"/>
      <c r="U515" s="1"/>
      <c r="V515" s="1"/>
      <c r="W515" s="1"/>
      <c r="X515" s="1"/>
      <c r="Y515" s="1"/>
    </row>
    <row r="516" customFormat="false" ht="15.75" hidden="false" customHeight="true" outlineLevel="0" collapsed="false">
      <c r="M516" s="1"/>
      <c r="N516" s="1"/>
      <c r="O516" s="1"/>
      <c r="P516" s="1"/>
      <c r="Q516" s="1"/>
      <c r="R516" s="1"/>
      <c r="S516" s="1"/>
      <c r="T516" s="1"/>
      <c r="U516" s="1"/>
      <c r="V516" s="1"/>
      <c r="W516" s="1"/>
      <c r="X516" s="1"/>
      <c r="Y516" s="1"/>
    </row>
    <row r="517" customFormat="false" ht="15.75" hidden="false" customHeight="true" outlineLevel="0" collapsed="false">
      <c r="M517" s="1"/>
      <c r="N517" s="1"/>
      <c r="O517" s="1"/>
      <c r="P517" s="1"/>
      <c r="Q517" s="1"/>
      <c r="R517" s="1"/>
      <c r="S517" s="1"/>
      <c r="T517" s="1"/>
      <c r="U517" s="1"/>
      <c r="V517" s="1"/>
      <c r="W517" s="1"/>
      <c r="X517" s="1"/>
      <c r="Y517" s="1"/>
    </row>
    <row r="518" customFormat="false" ht="15.75" hidden="false" customHeight="true" outlineLevel="0" collapsed="false">
      <c r="M518" s="1"/>
      <c r="N518" s="1"/>
      <c r="O518" s="1"/>
      <c r="P518" s="1"/>
      <c r="Q518" s="1"/>
      <c r="R518" s="1"/>
      <c r="S518" s="1"/>
      <c r="T518" s="1"/>
      <c r="U518" s="1"/>
      <c r="V518" s="1"/>
      <c r="W518" s="1"/>
      <c r="X518" s="1"/>
      <c r="Y518" s="1"/>
    </row>
    <row r="519" customFormat="false" ht="15.75" hidden="false" customHeight="true" outlineLevel="0" collapsed="false">
      <c r="M519" s="1"/>
      <c r="N519" s="1"/>
      <c r="O519" s="1"/>
      <c r="P519" s="1"/>
      <c r="Q519" s="1"/>
      <c r="R519" s="1"/>
      <c r="S519" s="1"/>
      <c r="T519" s="1"/>
      <c r="U519" s="1"/>
      <c r="V519" s="1"/>
      <c r="W519" s="1"/>
      <c r="X519" s="1"/>
      <c r="Y519" s="1"/>
    </row>
    <row r="520" customFormat="false" ht="15.75" hidden="false" customHeight="true" outlineLevel="0" collapsed="false">
      <c r="M520" s="1"/>
      <c r="N520" s="1"/>
      <c r="O520" s="1"/>
      <c r="P520" s="1"/>
      <c r="Q520" s="1"/>
      <c r="R520" s="1"/>
      <c r="S520" s="1"/>
      <c r="T520" s="1"/>
      <c r="U520" s="1"/>
      <c r="V520" s="1"/>
      <c r="W520" s="1"/>
      <c r="X520" s="1"/>
      <c r="Y520" s="1"/>
    </row>
    <row r="521" customFormat="false" ht="15.75" hidden="false" customHeight="true" outlineLevel="0" collapsed="false">
      <c r="M521" s="1"/>
      <c r="N521" s="1"/>
      <c r="O521" s="1"/>
      <c r="P521" s="1"/>
      <c r="Q521" s="1"/>
      <c r="R521" s="1"/>
      <c r="S521" s="1"/>
      <c r="T521" s="1"/>
      <c r="U521" s="1"/>
      <c r="V521" s="1"/>
      <c r="W521" s="1"/>
      <c r="X521" s="1"/>
      <c r="Y521" s="1"/>
    </row>
    <row r="522" customFormat="false" ht="15.75" hidden="false" customHeight="true" outlineLevel="0" collapsed="false">
      <c r="M522" s="1"/>
      <c r="N522" s="1"/>
      <c r="O522" s="1"/>
      <c r="P522" s="1"/>
      <c r="Q522" s="1"/>
      <c r="R522" s="1"/>
      <c r="S522" s="1"/>
      <c r="T522" s="1"/>
      <c r="U522" s="1"/>
      <c r="V522" s="1"/>
      <c r="W522" s="1"/>
      <c r="X522" s="1"/>
      <c r="Y522" s="1"/>
    </row>
    <row r="523" customFormat="false" ht="15.75" hidden="false" customHeight="true" outlineLevel="0" collapsed="false">
      <c r="M523" s="1"/>
      <c r="N523" s="1"/>
      <c r="O523" s="1"/>
      <c r="P523" s="1"/>
      <c r="Q523" s="1"/>
      <c r="R523" s="1"/>
      <c r="S523" s="1"/>
      <c r="T523" s="1"/>
      <c r="U523" s="1"/>
      <c r="V523" s="1"/>
      <c r="W523" s="1"/>
      <c r="X523" s="1"/>
      <c r="Y523" s="1"/>
    </row>
    <row r="524" customFormat="false" ht="15.75" hidden="false" customHeight="true" outlineLevel="0" collapsed="false">
      <c r="M524" s="1"/>
      <c r="N524" s="1"/>
      <c r="O524" s="1"/>
      <c r="P524" s="1"/>
      <c r="Q524" s="1"/>
      <c r="R524" s="1"/>
      <c r="S524" s="1"/>
      <c r="T524" s="1"/>
      <c r="U524" s="1"/>
      <c r="V524" s="1"/>
      <c r="W524" s="1"/>
      <c r="X524" s="1"/>
      <c r="Y524" s="1"/>
    </row>
    <row r="525" customFormat="false" ht="15.75" hidden="false" customHeight="true" outlineLevel="0" collapsed="false">
      <c r="M525" s="1"/>
      <c r="N525" s="1"/>
      <c r="O525" s="1"/>
      <c r="P525" s="1"/>
      <c r="Q525" s="1"/>
      <c r="R525" s="1"/>
      <c r="S525" s="1"/>
      <c r="T525" s="1"/>
      <c r="U525" s="1"/>
      <c r="V525" s="1"/>
      <c r="W525" s="1"/>
      <c r="X525" s="1"/>
      <c r="Y525" s="1"/>
    </row>
    <row r="526" customFormat="false" ht="15.75" hidden="false" customHeight="true" outlineLevel="0" collapsed="false">
      <c r="M526" s="1"/>
      <c r="N526" s="1"/>
      <c r="O526" s="1"/>
      <c r="P526" s="1"/>
      <c r="Q526" s="1"/>
      <c r="R526" s="1"/>
      <c r="S526" s="1"/>
      <c r="T526" s="1"/>
      <c r="U526" s="1"/>
      <c r="V526" s="1"/>
      <c r="W526" s="1"/>
      <c r="X526" s="1"/>
      <c r="Y526" s="1"/>
    </row>
    <row r="527" customFormat="false" ht="15.75" hidden="false" customHeight="true" outlineLevel="0" collapsed="false">
      <c r="M527" s="1"/>
      <c r="N527" s="1"/>
      <c r="O527" s="1"/>
      <c r="P527" s="1"/>
      <c r="Q527" s="1"/>
      <c r="R527" s="1"/>
      <c r="S527" s="1"/>
      <c r="T527" s="1"/>
      <c r="U527" s="1"/>
      <c r="V527" s="1"/>
      <c r="W527" s="1"/>
      <c r="X527" s="1"/>
      <c r="Y527" s="1"/>
    </row>
    <row r="528" customFormat="false" ht="15.75" hidden="false" customHeight="true" outlineLevel="0" collapsed="false">
      <c r="M528" s="1"/>
      <c r="N528" s="1"/>
      <c r="O528" s="1"/>
      <c r="P528" s="1"/>
      <c r="Q528" s="1"/>
      <c r="R528" s="1"/>
      <c r="S528" s="1"/>
      <c r="T528" s="1"/>
      <c r="U528" s="1"/>
      <c r="V528" s="1"/>
      <c r="W528" s="1"/>
      <c r="X528" s="1"/>
      <c r="Y528" s="1"/>
    </row>
    <row r="529" customFormat="false" ht="15.75" hidden="false" customHeight="true" outlineLevel="0" collapsed="false">
      <c r="M529" s="1"/>
      <c r="N529" s="1"/>
      <c r="O529" s="1"/>
      <c r="P529" s="1"/>
      <c r="Q529" s="1"/>
      <c r="R529" s="1"/>
      <c r="S529" s="1"/>
      <c r="T529" s="1"/>
      <c r="U529" s="1"/>
      <c r="V529" s="1"/>
      <c r="W529" s="1"/>
      <c r="X529" s="1"/>
      <c r="Y529" s="1"/>
    </row>
    <row r="530" customFormat="false" ht="15.75" hidden="false" customHeight="true" outlineLevel="0" collapsed="false">
      <c r="M530" s="1"/>
      <c r="N530" s="1"/>
      <c r="O530" s="1"/>
      <c r="P530" s="1"/>
      <c r="Q530" s="1"/>
      <c r="R530" s="1"/>
      <c r="S530" s="1"/>
      <c r="T530" s="1"/>
      <c r="U530" s="1"/>
      <c r="V530" s="1"/>
      <c r="W530" s="1"/>
      <c r="X530" s="1"/>
      <c r="Y530" s="1"/>
    </row>
    <row r="531" customFormat="false" ht="15.75" hidden="false" customHeight="true" outlineLevel="0" collapsed="false">
      <c r="M531" s="1"/>
      <c r="N531" s="1"/>
      <c r="O531" s="1"/>
      <c r="P531" s="1"/>
      <c r="Q531" s="1"/>
      <c r="R531" s="1"/>
      <c r="S531" s="1"/>
      <c r="T531" s="1"/>
      <c r="U531" s="1"/>
      <c r="V531" s="1"/>
      <c r="W531" s="1"/>
      <c r="X531" s="1"/>
      <c r="Y531" s="1"/>
    </row>
    <row r="532" customFormat="false" ht="15.75" hidden="false" customHeight="true" outlineLevel="0" collapsed="false">
      <c r="M532" s="1"/>
      <c r="N532" s="1"/>
      <c r="O532" s="1"/>
      <c r="P532" s="1"/>
      <c r="Q532" s="1"/>
      <c r="R532" s="1"/>
      <c r="S532" s="1"/>
      <c r="T532" s="1"/>
      <c r="U532" s="1"/>
      <c r="V532" s="1"/>
      <c r="W532" s="1"/>
      <c r="X532" s="1"/>
      <c r="Y532" s="1"/>
    </row>
    <row r="533" customFormat="false" ht="15.75" hidden="false" customHeight="true" outlineLevel="0" collapsed="false">
      <c r="M533" s="1"/>
      <c r="N533" s="1"/>
      <c r="O533" s="1"/>
      <c r="P533" s="1"/>
      <c r="Q533" s="1"/>
      <c r="R533" s="1"/>
      <c r="S533" s="1"/>
      <c r="T533" s="1"/>
      <c r="U533" s="1"/>
      <c r="V533" s="1"/>
      <c r="W533" s="1"/>
      <c r="X533" s="1"/>
      <c r="Y533" s="1"/>
    </row>
    <row r="534" customFormat="false" ht="15.75" hidden="false" customHeight="true" outlineLevel="0" collapsed="false">
      <c r="M534" s="1"/>
      <c r="N534" s="1"/>
      <c r="O534" s="1"/>
      <c r="P534" s="1"/>
      <c r="Q534" s="1"/>
      <c r="R534" s="1"/>
      <c r="S534" s="1"/>
      <c r="T534" s="1"/>
      <c r="U534" s="1"/>
      <c r="V534" s="1"/>
      <c r="W534" s="1"/>
      <c r="X534" s="1"/>
      <c r="Y534" s="1"/>
    </row>
    <row r="535" customFormat="false" ht="15.75" hidden="false" customHeight="true" outlineLevel="0" collapsed="false">
      <c r="M535" s="1"/>
      <c r="N535" s="1"/>
      <c r="O535" s="1"/>
      <c r="P535" s="1"/>
      <c r="Q535" s="1"/>
      <c r="R535" s="1"/>
      <c r="S535" s="1"/>
      <c r="T535" s="1"/>
      <c r="U535" s="1"/>
      <c r="V535" s="1"/>
      <c r="W535" s="1"/>
      <c r="X535" s="1"/>
      <c r="Y535" s="1"/>
    </row>
    <row r="536" customFormat="false" ht="15.75" hidden="false" customHeight="true" outlineLevel="0" collapsed="false">
      <c r="M536" s="1"/>
      <c r="N536" s="1"/>
      <c r="O536" s="1"/>
      <c r="P536" s="1"/>
      <c r="Q536" s="1"/>
      <c r="R536" s="1"/>
      <c r="S536" s="1"/>
      <c r="T536" s="1"/>
      <c r="U536" s="1"/>
      <c r="V536" s="1"/>
      <c r="W536" s="1"/>
      <c r="X536" s="1"/>
      <c r="Y536" s="1"/>
    </row>
    <row r="537" customFormat="false" ht="15.75" hidden="false" customHeight="true" outlineLevel="0" collapsed="false">
      <c r="M537" s="1"/>
      <c r="N537" s="1"/>
      <c r="O537" s="1"/>
      <c r="P537" s="1"/>
      <c r="Q537" s="1"/>
      <c r="R537" s="1"/>
      <c r="S537" s="1"/>
      <c r="T537" s="1"/>
      <c r="U537" s="1"/>
      <c r="V537" s="1"/>
      <c r="W537" s="1"/>
      <c r="X537" s="1"/>
      <c r="Y537" s="1"/>
    </row>
    <row r="538" customFormat="false" ht="15.75" hidden="false" customHeight="true" outlineLevel="0" collapsed="false">
      <c r="M538" s="1"/>
      <c r="N538" s="1"/>
      <c r="O538" s="1"/>
      <c r="P538" s="1"/>
      <c r="Q538" s="1"/>
      <c r="R538" s="1"/>
      <c r="S538" s="1"/>
      <c r="T538" s="1"/>
      <c r="U538" s="1"/>
      <c r="V538" s="1"/>
      <c r="W538" s="1"/>
      <c r="X538" s="1"/>
      <c r="Y538" s="1"/>
    </row>
    <row r="539" customFormat="false" ht="15.75" hidden="false" customHeight="true" outlineLevel="0" collapsed="false">
      <c r="M539" s="1"/>
      <c r="N539" s="1"/>
      <c r="O539" s="1"/>
      <c r="P539" s="1"/>
      <c r="Q539" s="1"/>
      <c r="R539" s="1"/>
      <c r="S539" s="1"/>
      <c r="T539" s="1"/>
      <c r="U539" s="1"/>
      <c r="V539" s="1"/>
      <c r="W539" s="1"/>
      <c r="X539" s="1"/>
      <c r="Y539" s="1"/>
    </row>
    <row r="540" customFormat="false" ht="15.75" hidden="false" customHeight="true" outlineLevel="0" collapsed="false">
      <c r="M540" s="1"/>
      <c r="N540" s="1"/>
      <c r="O540" s="1"/>
      <c r="P540" s="1"/>
      <c r="Q540" s="1"/>
      <c r="R540" s="1"/>
      <c r="S540" s="1"/>
      <c r="T540" s="1"/>
      <c r="U540" s="1"/>
      <c r="V540" s="1"/>
      <c r="W540" s="1"/>
      <c r="X540" s="1"/>
      <c r="Y540" s="1"/>
    </row>
    <row r="541" customFormat="false" ht="15.75" hidden="false" customHeight="true" outlineLevel="0" collapsed="false">
      <c r="M541" s="1"/>
      <c r="N541" s="1"/>
      <c r="O541" s="1"/>
      <c r="P541" s="1"/>
      <c r="Q541" s="1"/>
      <c r="R541" s="1"/>
      <c r="S541" s="1"/>
      <c r="T541" s="1"/>
      <c r="U541" s="1"/>
      <c r="V541" s="1"/>
      <c r="W541" s="1"/>
      <c r="X541" s="1"/>
      <c r="Y541" s="1"/>
    </row>
    <row r="542" customFormat="false" ht="15.75" hidden="false" customHeight="true" outlineLevel="0" collapsed="false">
      <c r="M542" s="1"/>
      <c r="N542" s="1"/>
      <c r="O542" s="1"/>
      <c r="P542" s="1"/>
      <c r="Q542" s="1"/>
      <c r="R542" s="1"/>
      <c r="S542" s="1"/>
      <c r="T542" s="1"/>
      <c r="U542" s="1"/>
      <c r="V542" s="1"/>
      <c r="W542" s="1"/>
      <c r="X542" s="1"/>
      <c r="Y542" s="1"/>
    </row>
    <row r="543" customFormat="false" ht="15.75" hidden="false" customHeight="true" outlineLevel="0" collapsed="false">
      <c r="M543" s="1"/>
      <c r="N543" s="1"/>
      <c r="O543" s="1"/>
      <c r="P543" s="1"/>
      <c r="Q543" s="1"/>
      <c r="R543" s="1"/>
      <c r="S543" s="1"/>
      <c r="T543" s="1"/>
      <c r="U543" s="1"/>
      <c r="V543" s="1"/>
      <c r="W543" s="1"/>
      <c r="X543" s="1"/>
      <c r="Y543" s="1"/>
    </row>
    <row r="544" customFormat="false" ht="15.75" hidden="false" customHeight="true" outlineLevel="0" collapsed="false">
      <c r="M544" s="1"/>
      <c r="N544" s="1"/>
      <c r="O544" s="1"/>
      <c r="P544" s="1"/>
      <c r="Q544" s="1"/>
      <c r="R544" s="1"/>
      <c r="S544" s="1"/>
      <c r="T544" s="1"/>
      <c r="U544" s="1"/>
      <c r="V544" s="1"/>
      <c r="W544" s="1"/>
      <c r="X544" s="1"/>
      <c r="Y544" s="1"/>
    </row>
    <row r="545" customFormat="false" ht="15.75" hidden="false" customHeight="true" outlineLevel="0" collapsed="false">
      <c r="M545" s="1"/>
      <c r="N545" s="1"/>
      <c r="O545" s="1"/>
      <c r="P545" s="1"/>
      <c r="Q545" s="1"/>
      <c r="R545" s="1"/>
      <c r="S545" s="1"/>
      <c r="T545" s="1"/>
      <c r="U545" s="1"/>
      <c r="V545" s="1"/>
      <c r="W545" s="1"/>
      <c r="X545" s="1"/>
      <c r="Y545" s="1"/>
    </row>
    <row r="546" customFormat="false" ht="15.75" hidden="false" customHeight="true" outlineLevel="0" collapsed="false">
      <c r="M546" s="1"/>
      <c r="N546" s="1"/>
      <c r="O546" s="1"/>
      <c r="P546" s="1"/>
      <c r="Q546" s="1"/>
      <c r="R546" s="1"/>
      <c r="S546" s="1"/>
      <c r="T546" s="1"/>
      <c r="U546" s="1"/>
      <c r="V546" s="1"/>
      <c r="W546" s="1"/>
      <c r="X546" s="1"/>
      <c r="Y546" s="1"/>
    </row>
    <row r="547" customFormat="false" ht="15.75" hidden="false" customHeight="true" outlineLevel="0" collapsed="false">
      <c r="M547" s="1"/>
      <c r="N547" s="1"/>
      <c r="O547" s="1"/>
      <c r="P547" s="1"/>
      <c r="Q547" s="1"/>
      <c r="R547" s="1"/>
      <c r="S547" s="1"/>
      <c r="T547" s="1"/>
      <c r="U547" s="1"/>
      <c r="V547" s="1"/>
      <c r="W547" s="1"/>
      <c r="X547" s="1"/>
      <c r="Y547" s="1"/>
    </row>
    <row r="548" customFormat="false" ht="15.75" hidden="false" customHeight="true" outlineLevel="0" collapsed="false">
      <c r="M548" s="1"/>
      <c r="N548" s="1"/>
      <c r="O548" s="1"/>
      <c r="P548" s="1"/>
      <c r="Q548" s="1"/>
      <c r="R548" s="1"/>
      <c r="S548" s="1"/>
      <c r="T548" s="1"/>
      <c r="U548" s="1"/>
      <c r="V548" s="1"/>
      <c r="W548" s="1"/>
      <c r="X548" s="1"/>
      <c r="Y548" s="1"/>
    </row>
    <row r="549" customFormat="false" ht="15.75" hidden="false" customHeight="true" outlineLevel="0" collapsed="false">
      <c r="M549" s="1"/>
      <c r="N549" s="1"/>
      <c r="O549" s="1"/>
      <c r="P549" s="1"/>
      <c r="Q549" s="1"/>
      <c r="R549" s="1"/>
      <c r="S549" s="1"/>
      <c r="T549" s="1"/>
      <c r="U549" s="1"/>
      <c r="V549" s="1"/>
      <c r="W549" s="1"/>
      <c r="X549" s="1"/>
      <c r="Y549" s="1"/>
    </row>
    <row r="550" customFormat="false" ht="15.75" hidden="false" customHeight="true" outlineLevel="0" collapsed="false">
      <c r="M550" s="1"/>
      <c r="N550" s="1"/>
      <c r="O550" s="1"/>
      <c r="P550" s="1"/>
      <c r="Q550" s="1"/>
      <c r="R550" s="1"/>
      <c r="S550" s="1"/>
      <c r="T550" s="1"/>
      <c r="U550" s="1"/>
      <c r="V550" s="1"/>
      <c r="W550" s="1"/>
      <c r="X550" s="1"/>
      <c r="Y550" s="1"/>
    </row>
    <row r="551" customFormat="false" ht="15.75" hidden="false" customHeight="true" outlineLevel="0" collapsed="false">
      <c r="M551" s="1"/>
      <c r="N551" s="1"/>
      <c r="O551" s="1"/>
      <c r="P551" s="1"/>
      <c r="Q551" s="1"/>
      <c r="R551" s="1"/>
      <c r="S551" s="1"/>
      <c r="T551" s="1"/>
      <c r="U551" s="1"/>
      <c r="V551" s="1"/>
      <c r="W551" s="1"/>
      <c r="X551" s="1"/>
      <c r="Y551" s="1"/>
    </row>
    <row r="552" customFormat="false" ht="15.75" hidden="false" customHeight="true" outlineLevel="0" collapsed="false">
      <c r="M552" s="1"/>
      <c r="N552" s="1"/>
      <c r="O552" s="1"/>
      <c r="P552" s="1"/>
      <c r="Q552" s="1"/>
      <c r="R552" s="1"/>
      <c r="S552" s="1"/>
      <c r="T552" s="1"/>
      <c r="U552" s="1"/>
      <c r="V552" s="1"/>
      <c r="W552" s="1"/>
      <c r="X552" s="1"/>
      <c r="Y552" s="1"/>
    </row>
    <row r="553" customFormat="false" ht="15.75" hidden="false" customHeight="true" outlineLevel="0" collapsed="false">
      <c r="M553" s="1"/>
      <c r="N553" s="1"/>
      <c r="O553" s="1"/>
      <c r="P553" s="1"/>
      <c r="Q553" s="1"/>
      <c r="R553" s="1"/>
      <c r="S553" s="1"/>
      <c r="T553" s="1"/>
      <c r="U553" s="1"/>
      <c r="V553" s="1"/>
      <c r="W553" s="1"/>
      <c r="X553" s="1"/>
      <c r="Y553" s="1"/>
    </row>
    <row r="554" customFormat="false" ht="15.75" hidden="false" customHeight="true" outlineLevel="0" collapsed="false">
      <c r="M554" s="1"/>
      <c r="N554" s="1"/>
      <c r="O554" s="1"/>
      <c r="P554" s="1"/>
      <c r="Q554" s="1"/>
      <c r="R554" s="1"/>
      <c r="S554" s="1"/>
      <c r="T554" s="1"/>
      <c r="U554" s="1"/>
      <c r="V554" s="1"/>
      <c r="W554" s="1"/>
      <c r="X554" s="1"/>
      <c r="Y554" s="1"/>
    </row>
    <row r="555" customFormat="false" ht="15.75" hidden="false" customHeight="true" outlineLevel="0" collapsed="false">
      <c r="M555" s="1"/>
      <c r="N555" s="1"/>
      <c r="O555" s="1"/>
      <c r="P555" s="1"/>
      <c r="Q555" s="1"/>
      <c r="R555" s="1"/>
      <c r="S555" s="1"/>
      <c r="T555" s="1"/>
      <c r="U555" s="1"/>
      <c r="V555" s="1"/>
      <c r="W555" s="1"/>
      <c r="X555" s="1"/>
      <c r="Y555" s="1"/>
    </row>
    <row r="556" customFormat="false" ht="15.75" hidden="false" customHeight="true" outlineLevel="0" collapsed="false">
      <c r="M556" s="1"/>
      <c r="N556" s="1"/>
      <c r="O556" s="1"/>
      <c r="P556" s="1"/>
      <c r="Q556" s="1"/>
      <c r="R556" s="1"/>
      <c r="S556" s="1"/>
      <c r="T556" s="1"/>
      <c r="U556" s="1"/>
      <c r="V556" s="1"/>
      <c r="W556" s="1"/>
      <c r="X556" s="1"/>
      <c r="Y556" s="1"/>
    </row>
    <row r="557" customFormat="false" ht="15.75" hidden="false" customHeight="true" outlineLevel="0" collapsed="false">
      <c r="M557" s="1"/>
      <c r="N557" s="1"/>
      <c r="O557" s="1"/>
      <c r="P557" s="1"/>
      <c r="Q557" s="1"/>
      <c r="R557" s="1"/>
      <c r="S557" s="1"/>
      <c r="T557" s="1"/>
      <c r="U557" s="1"/>
      <c r="V557" s="1"/>
      <c r="W557" s="1"/>
      <c r="X557" s="1"/>
      <c r="Y557" s="1"/>
    </row>
    <row r="558" customFormat="false" ht="15.75" hidden="false" customHeight="true" outlineLevel="0" collapsed="false">
      <c r="M558" s="1"/>
      <c r="N558" s="1"/>
      <c r="O558" s="1"/>
      <c r="P558" s="1"/>
      <c r="Q558" s="1"/>
      <c r="R558" s="1"/>
      <c r="S558" s="1"/>
      <c r="T558" s="1"/>
      <c r="U558" s="1"/>
      <c r="V558" s="1"/>
      <c r="W558" s="1"/>
      <c r="X558" s="1"/>
      <c r="Y558" s="1"/>
    </row>
    <row r="559" customFormat="false" ht="15.75" hidden="false" customHeight="true" outlineLevel="0" collapsed="false">
      <c r="M559" s="1"/>
      <c r="N559" s="1"/>
      <c r="O559" s="1"/>
      <c r="P559" s="1"/>
      <c r="Q559" s="1"/>
      <c r="R559" s="1"/>
      <c r="S559" s="1"/>
      <c r="T559" s="1"/>
      <c r="U559" s="1"/>
      <c r="V559" s="1"/>
      <c r="W559" s="1"/>
      <c r="X559" s="1"/>
      <c r="Y559" s="1"/>
    </row>
    <row r="560" customFormat="false" ht="15.75" hidden="false" customHeight="true" outlineLevel="0" collapsed="false">
      <c r="M560" s="1"/>
      <c r="N560" s="1"/>
      <c r="O560" s="1"/>
      <c r="P560" s="1"/>
      <c r="Q560" s="1"/>
      <c r="R560" s="1"/>
      <c r="S560" s="1"/>
      <c r="T560" s="1"/>
      <c r="U560" s="1"/>
      <c r="V560" s="1"/>
      <c r="W560" s="1"/>
      <c r="X560" s="1"/>
      <c r="Y560" s="1"/>
    </row>
    <row r="561" customFormat="false" ht="15.75" hidden="false" customHeight="true" outlineLevel="0" collapsed="false">
      <c r="M561" s="1"/>
      <c r="N561" s="1"/>
      <c r="O561" s="1"/>
      <c r="P561" s="1"/>
      <c r="Q561" s="1"/>
      <c r="R561" s="1"/>
      <c r="S561" s="1"/>
      <c r="T561" s="1"/>
      <c r="U561" s="1"/>
      <c r="V561" s="1"/>
      <c r="W561" s="1"/>
      <c r="X561" s="1"/>
      <c r="Y561" s="1"/>
    </row>
    <row r="562" customFormat="false" ht="15.75" hidden="false" customHeight="true" outlineLevel="0" collapsed="false">
      <c r="M562" s="1"/>
      <c r="N562" s="1"/>
      <c r="O562" s="1"/>
      <c r="P562" s="1"/>
      <c r="Q562" s="1"/>
      <c r="R562" s="1"/>
      <c r="S562" s="1"/>
      <c r="T562" s="1"/>
      <c r="U562" s="1"/>
      <c r="V562" s="1"/>
      <c r="W562" s="1"/>
      <c r="X562" s="1"/>
      <c r="Y562" s="1"/>
    </row>
    <row r="563" customFormat="false" ht="15.75" hidden="false" customHeight="true" outlineLevel="0" collapsed="false">
      <c r="M563" s="1"/>
      <c r="N563" s="1"/>
      <c r="O563" s="1"/>
      <c r="P563" s="1"/>
      <c r="Q563" s="1"/>
      <c r="R563" s="1"/>
      <c r="S563" s="1"/>
      <c r="T563" s="1"/>
      <c r="U563" s="1"/>
      <c r="V563" s="1"/>
      <c r="W563" s="1"/>
      <c r="X563" s="1"/>
      <c r="Y563" s="1"/>
    </row>
    <row r="564" customFormat="false" ht="15.75" hidden="false" customHeight="true" outlineLevel="0" collapsed="false">
      <c r="M564" s="1"/>
      <c r="N564" s="1"/>
      <c r="O564" s="1"/>
      <c r="P564" s="1"/>
      <c r="Q564" s="1"/>
      <c r="R564" s="1"/>
      <c r="S564" s="1"/>
      <c r="T564" s="1"/>
      <c r="U564" s="1"/>
      <c r="V564" s="1"/>
      <c r="W564" s="1"/>
      <c r="X564" s="1"/>
      <c r="Y564" s="1"/>
    </row>
    <row r="565" customFormat="false" ht="15.75" hidden="false" customHeight="true" outlineLevel="0" collapsed="false">
      <c r="M565" s="1"/>
      <c r="N565" s="1"/>
      <c r="O565" s="1"/>
      <c r="P565" s="1"/>
      <c r="Q565" s="1"/>
      <c r="R565" s="1"/>
      <c r="S565" s="1"/>
      <c r="T565" s="1"/>
      <c r="U565" s="1"/>
      <c r="V565" s="1"/>
      <c r="W565" s="1"/>
      <c r="X565" s="1"/>
      <c r="Y565" s="1"/>
    </row>
    <row r="566" customFormat="false" ht="15.75" hidden="false" customHeight="true" outlineLevel="0" collapsed="false">
      <c r="M566" s="1"/>
      <c r="N566" s="1"/>
      <c r="O566" s="1"/>
      <c r="P566" s="1"/>
      <c r="Q566" s="1"/>
      <c r="R566" s="1"/>
      <c r="S566" s="1"/>
      <c r="T566" s="1"/>
      <c r="U566" s="1"/>
      <c r="V566" s="1"/>
      <c r="W566" s="1"/>
      <c r="X566" s="1"/>
      <c r="Y566" s="1"/>
    </row>
    <row r="567" customFormat="false" ht="15.75" hidden="false" customHeight="true" outlineLevel="0" collapsed="false">
      <c r="M567" s="1"/>
      <c r="N567" s="1"/>
      <c r="O567" s="1"/>
      <c r="P567" s="1"/>
      <c r="Q567" s="1"/>
      <c r="R567" s="1"/>
      <c r="S567" s="1"/>
      <c r="T567" s="1"/>
      <c r="U567" s="1"/>
      <c r="V567" s="1"/>
      <c r="W567" s="1"/>
      <c r="X567" s="1"/>
      <c r="Y567" s="1"/>
    </row>
    <row r="568" customFormat="false" ht="15.75" hidden="false" customHeight="true" outlineLevel="0" collapsed="false">
      <c r="M568" s="1"/>
      <c r="N568" s="1"/>
      <c r="O568" s="1"/>
      <c r="P568" s="1"/>
      <c r="Q568" s="1"/>
      <c r="R568" s="1"/>
      <c r="S568" s="1"/>
      <c r="T568" s="1"/>
      <c r="U568" s="1"/>
      <c r="V568" s="1"/>
      <c r="W568" s="1"/>
      <c r="X568" s="1"/>
      <c r="Y568" s="1"/>
    </row>
    <row r="569" customFormat="false" ht="15.75" hidden="false" customHeight="true" outlineLevel="0" collapsed="false">
      <c r="M569" s="1"/>
      <c r="N569" s="1"/>
      <c r="O569" s="1"/>
      <c r="P569" s="1"/>
      <c r="Q569" s="1"/>
      <c r="R569" s="1"/>
      <c r="S569" s="1"/>
      <c r="T569" s="1"/>
      <c r="U569" s="1"/>
      <c r="V569" s="1"/>
      <c r="W569" s="1"/>
      <c r="X569" s="1"/>
      <c r="Y569" s="1"/>
    </row>
    <row r="570" customFormat="false" ht="15.75" hidden="false" customHeight="true" outlineLevel="0" collapsed="false">
      <c r="M570" s="1"/>
      <c r="N570" s="1"/>
      <c r="O570" s="1"/>
      <c r="P570" s="1"/>
      <c r="Q570" s="1"/>
      <c r="R570" s="1"/>
      <c r="S570" s="1"/>
      <c r="T570" s="1"/>
      <c r="U570" s="1"/>
      <c r="V570" s="1"/>
      <c r="W570" s="1"/>
      <c r="X570" s="1"/>
      <c r="Y570" s="1"/>
    </row>
    <row r="571" customFormat="false" ht="15.75" hidden="false" customHeight="true" outlineLevel="0" collapsed="false">
      <c r="M571" s="1"/>
      <c r="N571" s="1"/>
      <c r="O571" s="1"/>
      <c r="P571" s="1"/>
      <c r="Q571" s="1"/>
      <c r="R571" s="1"/>
      <c r="S571" s="1"/>
      <c r="T571" s="1"/>
      <c r="U571" s="1"/>
      <c r="V571" s="1"/>
      <c r="W571" s="1"/>
      <c r="X571" s="1"/>
      <c r="Y571" s="1"/>
    </row>
    <row r="572" customFormat="false" ht="15.75" hidden="false" customHeight="true" outlineLevel="0" collapsed="false">
      <c r="M572" s="1"/>
      <c r="N572" s="1"/>
      <c r="O572" s="1"/>
      <c r="P572" s="1"/>
      <c r="Q572" s="1"/>
      <c r="R572" s="1"/>
      <c r="S572" s="1"/>
      <c r="T572" s="1"/>
      <c r="U572" s="1"/>
      <c r="V572" s="1"/>
      <c r="W572" s="1"/>
      <c r="X572" s="1"/>
      <c r="Y572" s="1"/>
    </row>
    <row r="573" customFormat="false" ht="15.75" hidden="false" customHeight="true" outlineLevel="0" collapsed="false">
      <c r="M573" s="1"/>
      <c r="N573" s="1"/>
      <c r="O573" s="1"/>
      <c r="P573" s="1"/>
      <c r="Q573" s="1"/>
      <c r="R573" s="1"/>
      <c r="S573" s="1"/>
      <c r="T573" s="1"/>
      <c r="U573" s="1"/>
      <c r="V573" s="1"/>
      <c r="W573" s="1"/>
      <c r="X573" s="1"/>
      <c r="Y573" s="1"/>
    </row>
    <row r="574" customFormat="false" ht="15.75" hidden="false" customHeight="true" outlineLevel="0" collapsed="false">
      <c r="M574" s="1"/>
      <c r="N574" s="1"/>
      <c r="O574" s="1"/>
      <c r="P574" s="1"/>
      <c r="Q574" s="1"/>
      <c r="R574" s="1"/>
      <c r="S574" s="1"/>
      <c r="T574" s="1"/>
      <c r="U574" s="1"/>
      <c r="V574" s="1"/>
      <c r="W574" s="1"/>
      <c r="X574" s="1"/>
      <c r="Y574" s="1"/>
    </row>
    <row r="575" customFormat="false" ht="15.75" hidden="false" customHeight="true" outlineLevel="0" collapsed="false">
      <c r="M575" s="1"/>
      <c r="N575" s="1"/>
      <c r="O575" s="1"/>
      <c r="P575" s="1"/>
      <c r="Q575" s="1"/>
      <c r="R575" s="1"/>
      <c r="S575" s="1"/>
      <c r="T575" s="1"/>
      <c r="U575" s="1"/>
      <c r="V575" s="1"/>
      <c r="W575" s="1"/>
      <c r="X575" s="1"/>
      <c r="Y575" s="1"/>
    </row>
    <row r="576" customFormat="false" ht="15.75" hidden="false" customHeight="true" outlineLevel="0" collapsed="false">
      <c r="M576" s="1"/>
      <c r="N576" s="1"/>
      <c r="O576" s="1"/>
      <c r="P576" s="1"/>
      <c r="Q576" s="1"/>
      <c r="R576" s="1"/>
      <c r="S576" s="1"/>
      <c r="T576" s="1"/>
      <c r="U576" s="1"/>
      <c r="V576" s="1"/>
      <c r="W576" s="1"/>
      <c r="X576" s="1"/>
      <c r="Y576" s="1"/>
    </row>
    <row r="577" customFormat="false" ht="15.75" hidden="false" customHeight="true" outlineLevel="0" collapsed="false">
      <c r="M577" s="1"/>
      <c r="N577" s="1"/>
      <c r="O577" s="1"/>
      <c r="P577" s="1"/>
      <c r="Q577" s="1"/>
      <c r="R577" s="1"/>
      <c r="S577" s="1"/>
      <c r="T577" s="1"/>
      <c r="U577" s="1"/>
      <c r="V577" s="1"/>
      <c r="W577" s="1"/>
      <c r="X577" s="1"/>
      <c r="Y577" s="1"/>
    </row>
    <row r="578" customFormat="false" ht="15.75" hidden="false" customHeight="true" outlineLevel="0" collapsed="false">
      <c r="M578" s="1"/>
      <c r="N578" s="1"/>
      <c r="O578" s="1"/>
      <c r="P578" s="1"/>
      <c r="Q578" s="1"/>
      <c r="R578" s="1"/>
      <c r="S578" s="1"/>
      <c r="T578" s="1"/>
      <c r="U578" s="1"/>
      <c r="V578" s="1"/>
      <c r="W578" s="1"/>
      <c r="X578" s="1"/>
      <c r="Y578" s="1"/>
    </row>
    <row r="579" customFormat="false" ht="15.75" hidden="false" customHeight="true" outlineLevel="0" collapsed="false">
      <c r="M579" s="1"/>
      <c r="N579" s="1"/>
      <c r="O579" s="1"/>
      <c r="P579" s="1"/>
      <c r="Q579" s="1"/>
      <c r="R579" s="1"/>
      <c r="S579" s="1"/>
      <c r="T579" s="1"/>
      <c r="U579" s="1"/>
      <c r="V579" s="1"/>
      <c r="W579" s="1"/>
      <c r="X579" s="1"/>
      <c r="Y579" s="1"/>
    </row>
    <row r="580" customFormat="false" ht="15.75" hidden="false" customHeight="true" outlineLevel="0" collapsed="false">
      <c r="M580" s="1"/>
      <c r="N580" s="1"/>
      <c r="O580" s="1"/>
      <c r="P580" s="1"/>
      <c r="Q580" s="1"/>
      <c r="R580" s="1"/>
      <c r="S580" s="1"/>
      <c r="T580" s="1"/>
      <c r="U580" s="1"/>
      <c r="V580" s="1"/>
      <c r="W580" s="1"/>
      <c r="X580" s="1"/>
      <c r="Y580" s="1"/>
    </row>
    <row r="581" customFormat="false" ht="15.75" hidden="false" customHeight="true" outlineLevel="0" collapsed="false">
      <c r="M581" s="1"/>
      <c r="N581" s="1"/>
      <c r="O581" s="1"/>
      <c r="P581" s="1"/>
      <c r="Q581" s="1"/>
      <c r="R581" s="1"/>
      <c r="S581" s="1"/>
      <c r="T581" s="1"/>
      <c r="U581" s="1"/>
      <c r="V581" s="1"/>
      <c r="W581" s="1"/>
      <c r="X581" s="1"/>
      <c r="Y581" s="1"/>
    </row>
    <row r="582" customFormat="false" ht="15.75" hidden="false" customHeight="true" outlineLevel="0" collapsed="false">
      <c r="M582" s="1"/>
      <c r="N582" s="1"/>
      <c r="O582" s="1"/>
      <c r="P582" s="1"/>
      <c r="Q582" s="1"/>
      <c r="R582" s="1"/>
      <c r="S582" s="1"/>
      <c r="T582" s="1"/>
      <c r="U582" s="1"/>
      <c r="V582" s="1"/>
      <c r="W582" s="1"/>
      <c r="X582" s="1"/>
      <c r="Y582" s="1"/>
    </row>
    <row r="583" customFormat="false" ht="15.75" hidden="false" customHeight="true" outlineLevel="0" collapsed="false">
      <c r="M583" s="1"/>
      <c r="N583" s="1"/>
      <c r="O583" s="1"/>
      <c r="P583" s="1"/>
      <c r="Q583" s="1"/>
      <c r="R583" s="1"/>
      <c r="S583" s="1"/>
      <c r="T583" s="1"/>
      <c r="U583" s="1"/>
      <c r="V583" s="1"/>
      <c r="W583" s="1"/>
      <c r="X583" s="1"/>
      <c r="Y583" s="1"/>
    </row>
    <row r="584" customFormat="false" ht="15.75" hidden="false" customHeight="true" outlineLevel="0" collapsed="false">
      <c r="M584" s="1"/>
      <c r="N584" s="1"/>
      <c r="O584" s="1"/>
      <c r="P584" s="1"/>
      <c r="Q584" s="1"/>
      <c r="R584" s="1"/>
      <c r="S584" s="1"/>
      <c r="T584" s="1"/>
      <c r="U584" s="1"/>
      <c r="V584" s="1"/>
      <c r="W584" s="1"/>
      <c r="X584" s="1"/>
      <c r="Y584" s="1"/>
    </row>
    <row r="585" customFormat="false" ht="15.75" hidden="false" customHeight="true" outlineLevel="0" collapsed="false">
      <c r="M585" s="1"/>
      <c r="N585" s="1"/>
      <c r="O585" s="1"/>
      <c r="P585" s="1"/>
      <c r="Q585" s="1"/>
      <c r="R585" s="1"/>
      <c r="S585" s="1"/>
      <c r="T585" s="1"/>
      <c r="U585" s="1"/>
      <c r="V585" s="1"/>
      <c r="W585" s="1"/>
      <c r="X585" s="1"/>
      <c r="Y585" s="1"/>
    </row>
    <row r="586" customFormat="false" ht="15.75" hidden="false" customHeight="true" outlineLevel="0" collapsed="false">
      <c r="M586" s="1"/>
      <c r="N586" s="1"/>
      <c r="O586" s="1"/>
      <c r="P586" s="1"/>
      <c r="Q586" s="1"/>
      <c r="R586" s="1"/>
      <c r="S586" s="1"/>
      <c r="T586" s="1"/>
      <c r="U586" s="1"/>
      <c r="V586" s="1"/>
      <c r="W586" s="1"/>
      <c r="X586" s="1"/>
      <c r="Y586" s="1"/>
    </row>
    <row r="587" customFormat="false" ht="15.75" hidden="false" customHeight="true" outlineLevel="0" collapsed="false">
      <c r="M587" s="1"/>
      <c r="N587" s="1"/>
      <c r="O587" s="1"/>
      <c r="P587" s="1"/>
      <c r="Q587" s="1"/>
      <c r="R587" s="1"/>
      <c r="S587" s="1"/>
      <c r="T587" s="1"/>
      <c r="U587" s="1"/>
      <c r="V587" s="1"/>
      <c r="W587" s="1"/>
      <c r="X587" s="1"/>
      <c r="Y587" s="1"/>
    </row>
    <row r="588" customFormat="false" ht="15.75" hidden="false" customHeight="true" outlineLevel="0" collapsed="false">
      <c r="M588" s="1"/>
      <c r="N588" s="1"/>
      <c r="O588" s="1"/>
      <c r="P588" s="1"/>
      <c r="Q588" s="1"/>
      <c r="R588" s="1"/>
      <c r="S588" s="1"/>
      <c r="T588" s="1"/>
      <c r="U588" s="1"/>
      <c r="V588" s="1"/>
      <c r="W588" s="1"/>
      <c r="X588" s="1"/>
      <c r="Y588" s="1"/>
    </row>
    <row r="589" customFormat="false" ht="15.75" hidden="false" customHeight="true" outlineLevel="0" collapsed="false">
      <c r="M589" s="1"/>
      <c r="N589" s="1"/>
      <c r="O589" s="1"/>
      <c r="P589" s="1"/>
      <c r="Q589" s="1"/>
      <c r="R589" s="1"/>
      <c r="S589" s="1"/>
      <c r="T589" s="1"/>
      <c r="U589" s="1"/>
      <c r="V589" s="1"/>
      <c r="W589" s="1"/>
      <c r="X589" s="1"/>
      <c r="Y589" s="1"/>
    </row>
    <row r="590" customFormat="false" ht="15.75" hidden="false" customHeight="true" outlineLevel="0" collapsed="false">
      <c r="M590" s="1"/>
      <c r="N590" s="1"/>
      <c r="O590" s="1"/>
      <c r="P590" s="1"/>
      <c r="Q590" s="1"/>
      <c r="R590" s="1"/>
      <c r="S590" s="1"/>
      <c r="T590" s="1"/>
      <c r="U590" s="1"/>
      <c r="V590" s="1"/>
      <c r="W590" s="1"/>
      <c r="X590" s="1"/>
      <c r="Y590" s="1"/>
    </row>
    <row r="591" customFormat="false" ht="15.75" hidden="false" customHeight="true" outlineLevel="0" collapsed="false">
      <c r="M591" s="1"/>
      <c r="N591" s="1"/>
      <c r="O591" s="1"/>
      <c r="P591" s="1"/>
      <c r="Q591" s="1"/>
      <c r="R591" s="1"/>
      <c r="S591" s="1"/>
      <c r="T591" s="1"/>
      <c r="U591" s="1"/>
      <c r="V591" s="1"/>
      <c r="W591" s="1"/>
      <c r="X591" s="1"/>
      <c r="Y591" s="1"/>
    </row>
    <row r="592" customFormat="false" ht="15.75" hidden="false" customHeight="true" outlineLevel="0" collapsed="false">
      <c r="M592" s="1"/>
      <c r="N592" s="1"/>
      <c r="O592" s="1"/>
      <c r="P592" s="1"/>
      <c r="Q592" s="1"/>
      <c r="R592" s="1"/>
      <c r="S592" s="1"/>
      <c r="T592" s="1"/>
      <c r="U592" s="1"/>
      <c r="V592" s="1"/>
      <c r="W592" s="1"/>
      <c r="X592" s="1"/>
      <c r="Y592" s="1"/>
    </row>
    <row r="593" customFormat="false" ht="15.75" hidden="false" customHeight="true" outlineLevel="0" collapsed="false">
      <c r="M593" s="1"/>
      <c r="N593" s="1"/>
      <c r="O593" s="1"/>
      <c r="P593" s="1"/>
      <c r="Q593" s="1"/>
      <c r="R593" s="1"/>
      <c r="S593" s="1"/>
      <c r="T593" s="1"/>
      <c r="U593" s="1"/>
      <c r="V593" s="1"/>
      <c r="W593" s="1"/>
      <c r="X593" s="1"/>
      <c r="Y593" s="1"/>
    </row>
    <row r="594" customFormat="false" ht="15.75" hidden="false" customHeight="true" outlineLevel="0" collapsed="false">
      <c r="M594" s="1"/>
      <c r="N594" s="1"/>
      <c r="O594" s="1"/>
      <c r="P594" s="1"/>
      <c r="Q594" s="1"/>
      <c r="R594" s="1"/>
      <c r="S594" s="1"/>
      <c r="T594" s="1"/>
      <c r="U594" s="1"/>
      <c r="V594" s="1"/>
      <c r="W594" s="1"/>
      <c r="X594" s="1"/>
      <c r="Y594" s="1"/>
    </row>
    <row r="595" customFormat="false" ht="15.75" hidden="false" customHeight="true" outlineLevel="0" collapsed="false">
      <c r="M595" s="1"/>
      <c r="N595" s="1"/>
      <c r="O595" s="1"/>
      <c r="P595" s="1"/>
      <c r="Q595" s="1"/>
      <c r="R595" s="1"/>
      <c r="S595" s="1"/>
      <c r="T595" s="1"/>
      <c r="U595" s="1"/>
      <c r="V595" s="1"/>
      <c r="W595" s="1"/>
      <c r="X595" s="1"/>
      <c r="Y595" s="1"/>
    </row>
    <row r="596" customFormat="false" ht="15.75" hidden="false" customHeight="true" outlineLevel="0" collapsed="false">
      <c r="M596" s="1"/>
      <c r="N596" s="1"/>
      <c r="O596" s="1"/>
      <c r="P596" s="1"/>
      <c r="Q596" s="1"/>
      <c r="R596" s="1"/>
      <c r="S596" s="1"/>
      <c r="T596" s="1"/>
      <c r="U596" s="1"/>
      <c r="V596" s="1"/>
      <c r="W596" s="1"/>
      <c r="X596" s="1"/>
      <c r="Y596" s="1"/>
    </row>
    <row r="597" customFormat="false" ht="15.75" hidden="false" customHeight="true" outlineLevel="0" collapsed="false">
      <c r="M597" s="1"/>
      <c r="N597" s="1"/>
      <c r="O597" s="1"/>
      <c r="P597" s="1"/>
      <c r="Q597" s="1"/>
      <c r="R597" s="1"/>
      <c r="S597" s="1"/>
      <c r="T597" s="1"/>
      <c r="U597" s="1"/>
      <c r="V597" s="1"/>
      <c r="W597" s="1"/>
      <c r="X597" s="1"/>
      <c r="Y597" s="1"/>
    </row>
    <row r="598" customFormat="false" ht="15.75" hidden="false" customHeight="true" outlineLevel="0" collapsed="false">
      <c r="M598" s="1"/>
      <c r="N598" s="1"/>
      <c r="O598" s="1"/>
      <c r="P598" s="1"/>
      <c r="Q598" s="1"/>
      <c r="R598" s="1"/>
      <c r="S598" s="1"/>
      <c r="T598" s="1"/>
      <c r="U598" s="1"/>
      <c r="V598" s="1"/>
      <c r="W598" s="1"/>
      <c r="X598" s="1"/>
      <c r="Y598" s="1"/>
    </row>
    <row r="599" customFormat="false" ht="15.75" hidden="false" customHeight="true" outlineLevel="0" collapsed="false">
      <c r="M599" s="1"/>
      <c r="N599" s="1"/>
      <c r="O599" s="1"/>
      <c r="P599" s="1"/>
      <c r="Q599" s="1"/>
      <c r="R599" s="1"/>
      <c r="S599" s="1"/>
      <c r="T599" s="1"/>
      <c r="U599" s="1"/>
      <c r="V599" s="1"/>
      <c r="W599" s="1"/>
      <c r="X599" s="1"/>
      <c r="Y599" s="1"/>
    </row>
    <row r="600" customFormat="false" ht="15.75" hidden="false" customHeight="true" outlineLevel="0" collapsed="false">
      <c r="M600" s="1"/>
      <c r="N600" s="1"/>
      <c r="O600" s="1"/>
      <c r="P600" s="1"/>
      <c r="Q600" s="1"/>
      <c r="R600" s="1"/>
      <c r="S600" s="1"/>
      <c r="T600" s="1"/>
      <c r="U600" s="1"/>
      <c r="V600" s="1"/>
      <c r="W600" s="1"/>
      <c r="X600" s="1"/>
      <c r="Y600" s="1"/>
    </row>
    <row r="601" customFormat="false" ht="15.75" hidden="false" customHeight="true" outlineLevel="0" collapsed="false">
      <c r="M601" s="1"/>
      <c r="N601" s="1"/>
      <c r="O601" s="1"/>
      <c r="P601" s="1"/>
      <c r="Q601" s="1"/>
      <c r="R601" s="1"/>
      <c r="S601" s="1"/>
      <c r="T601" s="1"/>
      <c r="U601" s="1"/>
      <c r="V601" s="1"/>
      <c r="W601" s="1"/>
      <c r="X601" s="1"/>
      <c r="Y601" s="1"/>
    </row>
    <row r="602" customFormat="false" ht="15.75" hidden="false" customHeight="true" outlineLevel="0" collapsed="false">
      <c r="M602" s="1"/>
      <c r="N602" s="1"/>
      <c r="O602" s="1"/>
      <c r="P602" s="1"/>
      <c r="Q602" s="1"/>
      <c r="R602" s="1"/>
      <c r="S602" s="1"/>
      <c r="T602" s="1"/>
      <c r="U602" s="1"/>
      <c r="V602" s="1"/>
      <c r="W602" s="1"/>
      <c r="X602" s="1"/>
      <c r="Y602" s="1"/>
    </row>
    <row r="603" customFormat="false" ht="15.75" hidden="false" customHeight="true" outlineLevel="0" collapsed="false">
      <c r="M603" s="1"/>
      <c r="N603" s="1"/>
      <c r="O603" s="1"/>
      <c r="P603" s="1"/>
      <c r="Q603" s="1"/>
      <c r="R603" s="1"/>
      <c r="S603" s="1"/>
      <c r="T603" s="1"/>
      <c r="U603" s="1"/>
      <c r="V603" s="1"/>
      <c r="W603" s="1"/>
      <c r="X603" s="1"/>
      <c r="Y603" s="1"/>
    </row>
    <row r="604" customFormat="false" ht="15.75" hidden="false" customHeight="true" outlineLevel="0" collapsed="false">
      <c r="M604" s="1"/>
      <c r="N604" s="1"/>
      <c r="O604" s="1"/>
      <c r="P604" s="1"/>
      <c r="Q604" s="1"/>
      <c r="R604" s="1"/>
      <c r="S604" s="1"/>
      <c r="T604" s="1"/>
      <c r="U604" s="1"/>
      <c r="V604" s="1"/>
      <c r="W604" s="1"/>
      <c r="X604" s="1"/>
      <c r="Y604" s="1"/>
    </row>
    <row r="605" customFormat="false" ht="15.75" hidden="false" customHeight="true" outlineLevel="0" collapsed="false">
      <c r="M605" s="1"/>
      <c r="N605" s="1"/>
      <c r="O605" s="1"/>
      <c r="P605" s="1"/>
      <c r="Q605" s="1"/>
      <c r="R605" s="1"/>
      <c r="S605" s="1"/>
      <c r="T605" s="1"/>
      <c r="U605" s="1"/>
      <c r="V605" s="1"/>
      <c r="W605" s="1"/>
      <c r="X605" s="1"/>
      <c r="Y605" s="1"/>
    </row>
    <row r="606" customFormat="false" ht="15.75" hidden="false" customHeight="true" outlineLevel="0" collapsed="false">
      <c r="M606" s="1"/>
      <c r="N606" s="1"/>
      <c r="O606" s="1"/>
      <c r="P606" s="1"/>
      <c r="Q606" s="1"/>
      <c r="R606" s="1"/>
      <c r="S606" s="1"/>
      <c r="T606" s="1"/>
      <c r="U606" s="1"/>
      <c r="V606" s="1"/>
      <c r="W606" s="1"/>
      <c r="X606" s="1"/>
      <c r="Y606" s="1"/>
    </row>
    <row r="607" customFormat="false" ht="15.75" hidden="false" customHeight="true" outlineLevel="0" collapsed="false">
      <c r="M607" s="1"/>
      <c r="N607" s="1"/>
      <c r="O607" s="1"/>
      <c r="P607" s="1"/>
      <c r="Q607" s="1"/>
      <c r="R607" s="1"/>
      <c r="S607" s="1"/>
      <c r="T607" s="1"/>
      <c r="U607" s="1"/>
      <c r="V607" s="1"/>
      <c r="W607" s="1"/>
      <c r="X607" s="1"/>
      <c r="Y607" s="1"/>
    </row>
    <row r="608" customFormat="false" ht="15.75" hidden="false" customHeight="true" outlineLevel="0" collapsed="false">
      <c r="M608" s="1"/>
      <c r="N608" s="1"/>
      <c r="O608" s="1"/>
      <c r="P608" s="1"/>
      <c r="Q608" s="1"/>
      <c r="R608" s="1"/>
      <c r="S608" s="1"/>
      <c r="T608" s="1"/>
      <c r="U608" s="1"/>
      <c r="V608" s="1"/>
      <c r="W608" s="1"/>
      <c r="X608" s="1"/>
      <c r="Y608" s="1"/>
    </row>
    <row r="609" customFormat="false" ht="15.75" hidden="false" customHeight="true" outlineLevel="0" collapsed="false">
      <c r="M609" s="1"/>
      <c r="N609" s="1"/>
      <c r="O609" s="1"/>
      <c r="P609" s="1"/>
      <c r="Q609" s="1"/>
      <c r="R609" s="1"/>
      <c r="S609" s="1"/>
      <c r="T609" s="1"/>
      <c r="U609" s="1"/>
      <c r="V609" s="1"/>
      <c r="W609" s="1"/>
      <c r="X609" s="1"/>
      <c r="Y609" s="1"/>
    </row>
    <row r="610" customFormat="false" ht="15.75" hidden="false" customHeight="true" outlineLevel="0" collapsed="false">
      <c r="M610" s="1"/>
      <c r="N610" s="1"/>
      <c r="O610" s="1"/>
      <c r="P610" s="1"/>
      <c r="Q610" s="1"/>
      <c r="R610" s="1"/>
      <c r="S610" s="1"/>
      <c r="T610" s="1"/>
      <c r="U610" s="1"/>
      <c r="V610" s="1"/>
      <c r="W610" s="1"/>
      <c r="X610" s="1"/>
      <c r="Y610" s="1"/>
    </row>
    <row r="611" customFormat="false" ht="15.75" hidden="false" customHeight="true" outlineLevel="0" collapsed="false">
      <c r="M611" s="1"/>
      <c r="N611" s="1"/>
      <c r="O611" s="1"/>
      <c r="P611" s="1"/>
      <c r="Q611" s="1"/>
      <c r="R611" s="1"/>
      <c r="S611" s="1"/>
      <c r="T611" s="1"/>
      <c r="U611" s="1"/>
      <c r="V611" s="1"/>
      <c r="W611" s="1"/>
      <c r="X611" s="1"/>
      <c r="Y611" s="1"/>
    </row>
    <row r="612" customFormat="false" ht="15.75" hidden="false" customHeight="true" outlineLevel="0" collapsed="false">
      <c r="M612" s="1"/>
      <c r="N612" s="1"/>
      <c r="O612" s="1"/>
      <c r="P612" s="1"/>
      <c r="Q612" s="1"/>
      <c r="R612" s="1"/>
      <c r="S612" s="1"/>
      <c r="T612" s="1"/>
      <c r="U612" s="1"/>
      <c r="V612" s="1"/>
      <c r="W612" s="1"/>
      <c r="X612" s="1"/>
      <c r="Y612" s="1"/>
    </row>
    <row r="613" customFormat="false" ht="15.75" hidden="false" customHeight="true" outlineLevel="0" collapsed="false">
      <c r="M613" s="1"/>
      <c r="N613" s="1"/>
      <c r="O613" s="1"/>
      <c r="P613" s="1"/>
      <c r="Q613" s="1"/>
      <c r="R613" s="1"/>
      <c r="S613" s="1"/>
      <c r="T613" s="1"/>
      <c r="U613" s="1"/>
      <c r="V613" s="1"/>
      <c r="W613" s="1"/>
      <c r="X613" s="1"/>
      <c r="Y613" s="1"/>
    </row>
    <row r="614" customFormat="false" ht="15.75" hidden="false" customHeight="true" outlineLevel="0" collapsed="false">
      <c r="M614" s="1"/>
      <c r="N614" s="1"/>
      <c r="O614" s="1"/>
      <c r="P614" s="1"/>
      <c r="Q614" s="1"/>
      <c r="R614" s="1"/>
      <c r="S614" s="1"/>
      <c r="T614" s="1"/>
      <c r="U614" s="1"/>
      <c r="V614" s="1"/>
      <c r="W614" s="1"/>
      <c r="X614" s="1"/>
      <c r="Y614" s="1"/>
    </row>
    <row r="615" customFormat="false" ht="15.75" hidden="false" customHeight="true" outlineLevel="0" collapsed="false">
      <c r="M615" s="1"/>
      <c r="N615" s="1"/>
      <c r="O615" s="1"/>
      <c r="P615" s="1"/>
      <c r="Q615" s="1"/>
      <c r="R615" s="1"/>
      <c r="S615" s="1"/>
      <c r="T615" s="1"/>
      <c r="U615" s="1"/>
      <c r="V615" s="1"/>
      <c r="W615" s="1"/>
      <c r="X615" s="1"/>
      <c r="Y615" s="1"/>
    </row>
    <row r="616" customFormat="false" ht="15.75" hidden="false" customHeight="true" outlineLevel="0" collapsed="false">
      <c r="M616" s="1"/>
      <c r="N616" s="1"/>
      <c r="O616" s="1"/>
      <c r="P616" s="1"/>
      <c r="Q616" s="1"/>
      <c r="R616" s="1"/>
      <c r="S616" s="1"/>
      <c r="T616" s="1"/>
      <c r="U616" s="1"/>
      <c r="V616" s="1"/>
      <c r="W616" s="1"/>
      <c r="X616" s="1"/>
      <c r="Y616" s="1"/>
    </row>
    <row r="617" customFormat="false" ht="15.75" hidden="false" customHeight="true" outlineLevel="0" collapsed="false">
      <c r="M617" s="1"/>
      <c r="N617" s="1"/>
      <c r="O617" s="1"/>
      <c r="P617" s="1"/>
      <c r="Q617" s="1"/>
      <c r="R617" s="1"/>
      <c r="S617" s="1"/>
      <c r="T617" s="1"/>
      <c r="U617" s="1"/>
      <c r="V617" s="1"/>
      <c r="W617" s="1"/>
      <c r="X617" s="1"/>
      <c r="Y617" s="1"/>
    </row>
    <row r="618" customFormat="false" ht="15.75" hidden="false" customHeight="true" outlineLevel="0" collapsed="false">
      <c r="M618" s="1"/>
      <c r="N618" s="1"/>
      <c r="O618" s="1"/>
      <c r="P618" s="1"/>
      <c r="Q618" s="1"/>
      <c r="R618" s="1"/>
      <c r="S618" s="1"/>
      <c r="T618" s="1"/>
      <c r="U618" s="1"/>
      <c r="V618" s="1"/>
      <c r="W618" s="1"/>
      <c r="X618" s="1"/>
      <c r="Y618" s="1"/>
    </row>
    <row r="619" customFormat="false" ht="15.75" hidden="false" customHeight="true" outlineLevel="0" collapsed="false">
      <c r="M619" s="1"/>
      <c r="N619" s="1"/>
      <c r="O619" s="1"/>
      <c r="P619" s="1"/>
      <c r="Q619" s="1"/>
      <c r="R619" s="1"/>
      <c r="S619" s="1"/>
      <c r="T619" s="1"/>
      <c r="U619" s="1"/>
      <c r="V619" s="1"/>
      <c r="W619" s="1"/>
      <c r="X619" s="1"/>
      <c r="Y619" s="1"/>
    </row>
    <row r="620" customFormat="false" ht="15.75" hidden="false" customHeight="true" outlineLevel="0" collapsed="false">
      <c r="M620" s="1"/>
      <c r="N620" s="1"/>
      <c r="O620" s="1"/>
      <c r="P620" s="1"/>
      <c r="Q620" s="1"/>
      <c r="R620" s="1"/>
      <c r="S620" s="1"/>
      <c r="T620" s="1"/>
      <c r="U620" s="1"/>
      <c r="V620" s="1"/>
      <c r="W620" s="1"/>
      <c r="X620" s="1"/>
      <c r="Y620" s="1"/>
    </row>
    <row r="621" customFormat="false" ht="15.75" hidden="false" customHeight="true" outlineLevel="0" collapsed="false">
      <c r="M621" s="1"/>
      <c r="N621" s="1"/>
      <c r="O621" s="1"/>
      <c r="P621" s="1"/>
      <c r="Q621" s="1"/>
      <c r="R621" s="1"/>
      <c r="S621" s="1"/>
      <c r="T621" s="1"/>
      <c r="U621" s="1"/>
      <c r="V621" s="1"/>
      <c r="W621" s="1"/>
      <c r="X621" s="1"/>
      <c r="Y621" s="1"/>
    </row>
    <row r="622" customFormat="false" ht="15.75" hidden="false" customHeight="true" outlineLevel="0" collapsed="false">
      <c r="M622" s="1"/>
      <c r="N622" s="1"/>
      <c r="O622" s="1"/>
      <c r="P622" s="1"/>
      <c r="Q622" s="1"/>
      <c r="R622" s="1"/>
      <c r="S622" s="1"/>
      <c r="T622" s="1"/>
      <c r="U622" s="1"/>
      <c r="V622" s="1"/>
      <c r="W622" s="1"/>
      <c r="X622" s="1"/>
      <c r="Y622" s="1"/>
    </row>
    <row r="623" customFormat="false" ht="15.75" hidden="false" customHeight="true" outlineLevel="0" collapsed="false">
      <c r="M623" s="1"/>
      <c r="N623" s="1"/>
      <c r="O623" s="1"/>
      <c r="P623" s="1"/>
      <c r="Q623" s="1"/>
      <c r="R623" s="1"/>
      <c r="S623" s="1"/>
      <c r="T623" s="1"/>
      <c r="U623" s="1"/>
      <c r="V623" s="1"/>
      <c r="W623" s="1"/>
      <c r="X623" s="1"/>
      <c r="Y623" s="1"/>
    </row>
    <row r="624" customFormat="false" ht="15.75" hidden="false" customHeight="true" outlineLevel="0" collapsed="false">
      <c r="M624" s="1"/>
      <c r="N624" s="1"/>
      <c r="O624" s="1"/>
      <c r="P624" s="1"/>
      <c r="Q624" s="1"/>
      <c r="R624" s="1"/>
      <c r="S624" s="1"/>
      <c r="T624" s="1"/>
      <c r="U624" s="1"/>
      <c r="V624" s="1"/>
      <c r="W624" s="1"/>
      <c r="X624" s="1"/>
      <c r="Y624" s="1"/>
    </row>
    <row r="625" customFormat="false" ht="15.75" hidden="false" customHeight="true" outlineLevel="0" collapsed="false">
      <c r="M625" s="1"/>
      <c r="N625" s="1"/>
      <c r="O625" s="1"/>
      <c r="P625" s="1"/>
      <c r="Q625" s="1"/>
      <c r="R625" s="1"/>
      <c r="S625" s="1"/>
      <c r="T625" s="1"/>
      <c r="U625" s="1"/>
      <c r="V625" s="1"/>
      <c r="W625" s="1"/>
      <c r="X625" s="1"/>
      <c r="Y625" s="1"/>
    </row>
    <row r="626" customFormat="false" ht="15.75" hidden="false" customHeight="true" outlineLevel="0" collapsed="false">
      <c r="M626" s="1"/>
      <c r="N626" s="1"/>
      <c r="O626" s="1"/>
      <c r="P626" s="1"/>
      <c r="Q626" s="1"/>
      <c r="R626" s="1"/>
      <c r="S626" s="1"/>
      <c r="T626" s="1"/>
      <c r="U626" s="1"/>
      <c r="V626" s="1"/>
      <c r="W626" s="1"/>
      <c r="X626" s="1"/>
      <c r="Y626" s="1"/>
    </row>
    <row r="627" customFormat="false" ht="15.75" hidden="false" customHeight="true" outlineLevel="0" collapsed="false">
      <c r="M627" s="1"/>
      <c r="N627" s="1"/>
      <c r="O627" s="1"/>
      <c r="P627" s="1"/>
      <c r="Q627" s="1"/>
      <c r="R627" s="1"/>
      <c r="S627" s="1"/>
      <c r="T627" s="1"/>
      <c r="U627" s="1"/>
      <c r="V627" s="1"/>
      <c r="W627" s="1"/>
      <c r="X627" s="1"/>
      <c r="Y627" s="1"/>
    </row>
    <row r="628" customFormat="false" ht="15.75" hidden="false" customHeight="true" outlineLevel="0" collapsed="false">
      <c r="M628" s="1"/>
      <c r="N628" s="1"/>
      <c r="O628" s="1"/>
      <c r="P628" s="1"/>
      <c r="Q628" s="1"/>
      <c r="R628" s="1"/>
      <c r="S628" s="1"/>
      <c r="T628" s="1"/>
      <c r="U628" s="1"/>
      <c r="V628" s="1"/>
      <c r="W628" s="1"/>
      <c r="X628" s="1"/>
      <c r="Y628" s="1"/>
    </row>
    <row r="629" customFormat="false" ht="15.75" hidden="false" customHeight="true" outlineLevel="0" collapsed="false">
      <c r="M629" s="1"/>
      <c r="N629" s="1"/>
      <c r="O629" s="1"/>
      <c r="P629" s="1"/>
      <c r="Q629" s="1"/>
      <c r="R629" s="1"/>
      <c r="S629" s="1"/>
      <c r="T629" s="1"/>
      <c r="U629" s="1"/>
      <c r="V629" s="1"/>
      <c r="W629" s="1"/>
      <c r="X629" s="1"/>
      <c r="Y629" s="1"/>
    </row>
    <row r="630" customFormat="false" ht="15.75" hidden="false" customHeight="true" outlineLevel="0" collapsed="false">
      <c r="M630" s="1"/>
      <c r="N630" s="1"/>
      <c r="O630" s="1"/>
      <c r="P630" s="1"/>
      <c r="Q630" s="1"/>
      <c r="R630" s="1"/>
      <c r="S630" s="1"/>
      <c r="T630" s="1"/>
      <c r="U630" s="1"/>
      <c r="V630" s="1"/>
      <c r="W630" s="1"/>
      <c r="X630" s="1"/>
      <c r="Y630" s="1"/>
    </row>
    <row r="631" customFormat="false" ht="15.75" hidden="false" customHeight="true" outlineLevel="0" collapsed="false">
      <c r="M631" s="1"/>
      <c r="N631" s="1"/>
      <c r="O631" s="1"/>
      <c r="P631" s="1"/>
      <c r="Q631" s="1"/>
      <c r="R631" s="1"/>
      <c r="S631" s="1"/>
      <c r="T631" s="1"/>
      <c r="U631" s="1"/>
      <c r="V631" s="1"/>
      <c r="W631" s="1"/>
      <c r="X631" s="1"/>
      <c r="Y631" s="1"/>
    </row>
    <row r="632" customFormat="false" ht="15.75" hidden="false" customHeight="true" outlineLevel="0" collapsed="false">
      <c r="M632" s="1"/>
      <c r="N632" s="1"/>
      <c r="O632" s="1"/>
      <c r="P632" s="1"/>
      <c r="Q632" s="1"/>
      <c r="R632" s="1"/>
      <c r="S632" s="1"/>
      <c r="T632" s="1"/>
      <c r="U632" s="1"/>
      <c r="V632" s="1"/>
      <c r="W632" s="1"/>
      <c r="X632" s="1"/>
      <c r="Y632" s="1"/>
    </row>
    <row r="633" customFormat="false" ht="15.75" hidden="false" customHeight="true" outlineLevel="0" collapsed="false">
      <c r="M633" s="1"/>
      <c r="N633" s="1"/>
      <c r="O633" s="1"/>
      <c r="P633" s="1"/>
      <c r="Q633" s="1"/>
      <c r="R633" s="1"/>
      <c r="S633" s="1"/>
      <c r="T633" s="1"/>
      <c r="U633" s="1"/>
      <c r="V633" s="1"/>
      <c r="W633" s="1"/>
      <c r="X633" s="1"/>
      <c r="Y633" s="1"/>
    </row>
    <row r="634" customFormat="false" ht="15.75" hidden="false" customHeight="true" outlineLevel="0" collapsed="false">
      <c r="M634" s="1"/>
      <c r="N634" s="1"/>
      <c r="O634" s="1"/>
      <c r="P634" s="1"/>
      <c r="Q634" s="1"/>
      <c r="R634" s="1"/>
      <c r="S634" s="1"/>
      <c r="T634" s="1"/>
      <c r="U634" s="1"/>
      <c r="V634" s="1"/>
      <c r="W634" s="1"/>
      <c r="X634" s="1"/>
      <c r="Y634" s="1"/>
    </row>
    <row r="635" customFormat="false" ht="15.75" hidden="false" customHeight="true" outlineLevel="0" collapsed="false">
      <c r="M635" s="1"/>
      <c r="N635" s="1"/>
      <c r="O635" s="1"/>
      <c r="P635" s="1"/>
      <c r="Q635" s="1"/>
      <c r="R635" s="1"/>
      <c r="S635" s="1"/>
      <c r="T635" s="1"/>
      <c r="U635" s="1"/>
      <c r="V635" s="1"/>
      <c r="W635" s="1"/>
      <c r="X635" s="1"/>
      <c r="Y635" s="1"/>
    </row>
    <row r="636" customFormat="false" ht="15.75" hidden="false" customHeight="true" outlineLevel="0" collapsed="false">
      <c r="M636" s="1"/>
      <c r="N636" s="1"/>
      <c r="O636" s="1"/>
      <c r="P636" s="1"/>
      <c r="Q636" s="1"/>
      <c r="R636" s="1"/>
      <c r="S636" s="1"/>
      <c r="T636" s="1"/>
      <c r="U636" s="1"/>
      <c r="V636" s="1"/>
      <c r="W636" s="1"/>
      <c r="X636" s="1"/>
      <c r="Y636" s="1"/>
    </row>
    <row r="637" customFormat="false" ht="15.75" hidden="false" customHeight="true" outlineLevel="0" collapsed="false">
      <c r="M637" s="1"/>
      <c r="N637" s="1"/>
      <c r="O637" s="1"/>
      <c r="P637" s="1"/>
      <c r="Q637" s="1"/>
      <c r="R637" s="1"/>
      <c r="S637" s="1"/>
      <c r="T637" s="1"/>
      <c r="U637" s="1"/>
      <c r="V637" s="1"/>
      <c r="W637" s="1"/>
      <c r="X637" s="1"/>
      <c r="Y637" s="1"/>
    </row>
    <row r="638" customFormat="false" ht="15.75" hidden="false" customHeight="true" outlineLevel="0" collapsed="false">
      <c r="M638" s="1"/>
      <c r="N638" s="1"/>
      <c r="O638" s="1"/>
      <c r="P638" s="1"/>
      <c r="Q638" s="1"/>
      <c r="R638" s="1"/>
      <c r="S638" s="1"/>
      <c r="T638" s="1"/>
      <c r="U638" s="1"/>
      <c r="V638" s="1"/>
      <c r="W638" s="1"/>
      <c r="X638" s="1"/>
      <c r="Y638" s="1"/>
    </row>
    <row r="639" customFormat="false" ht="15.75" hidden="false" customHeight="true" outlineLevel="0" collapsed="false">
      <c r="M639" s="1"/>
      <c r="N639" s="1"/>
      <c r="O639" s="1"/>
      <c r="P639" s="1"/>
      <c r="Q639" s="1"/>
      <c r="R639" s="1"/>
      <c r="S639" s="1"/>
      <c r="T639" s="1"/>
      <c r="U639" s="1"/>
      <c r="V639" s="1"/>
      <c r="W639" s="1"/>
      <c r="X639" s="1"/>
      <c r="Y639" s="1"/>
    </row>
    <row r="640" customFormat="false" ht="15.75" hidden="false" customHeight="true" outlineLevel="0" collapsed="false">
      <c r="M640" s="1"/>
      <c r="N640" s="1"/>
      <c r="O640" s="1"/>
      <c r="P640" s="1"/>
      <c r="Q640" s="1"/>
      <c r="R640" s="1"/>
      <c r="S640" s="1"/>
      <c r="T640" s="1"/>
      <c r="U640" s="1"/>
      <c r="V640" s="1"/>
      <c r="W640" s="1"/>
      <c r="X640" s="1"/>
      <c r="Y640" s="1"/>
    </row>
    <row r="641" customFormat="false" ht="15.75" hidden="false" customHeight="true" outlineLevel="0" collapsed="false">
      <c r="M641" s="1"/>
      <c r="N641" s="1"/>
      <c r="O641" s="1"/>
      <c r="P641" s="1"/>
      <c r="Q641" s="1"/>
      <c r="R641" s="1"/>
      <c r="S641" s="1"/>
      <c r="T641" s="1"/>
      <c r="U641" s="1"/>
      <c r="V641" s="1"/>
      <c r="W641" s="1"/>
      <c r="X641" s="1"/>
      <c r="Y641" s="1"/>
    </row>
    <row r="642" customFormat="false" ht="15.75" hidden="false" customHeight="true" outlineLevel="0" collapsed="false">
      <c r="M642" s="1"/>
      <c r="N642" s="1"/>
      <c r="O642" s="1"/>
      <c r="P642" s="1"/>
      <c r="Q642" s="1"/>
      <c r="R642" s="1"/>
      <c r="S642" s="1"/>
      <c r="T642" s="1"/>
      <c r="U642" s="1"/>
      <c r="V642" s="1"/>
      <c r="W642" s="1"/>
      <c r="X642" s="1"/>
      <c r="Y642" s="1"/>
    </row>
    <row r="643" customFormat="false" ht="15.75" hidden="false" customHeight="true" outlineLevel="0" collapsed="false">
      <c r="M643" s="1"/>
      <c r="N643" s="1"/>
      <c r="O643" s="1"/>
      <c r="P643" s="1"/>
      <c r="Q643" s="1"/>
      <c r="R643" s="1"/>
      <c r="S643" s="1"/>
      <c r="T643" s="1"/>
      <c r="U643" s="1"/>
      <c r="V643" s="1"/>
      <c r="W643" s="1"/>
      <c r="X643" s="1"/>
      <c r="Y643" s="1"/>
    </row>
    <row r="644" customFormat="false" ht="15.75" hidden="false" customHeight="true" outlineLevel="0" collapsed="false">
      <c r="M644" s="1"/>
      <c r="N644" s="1"/>
      <c r="O644" s="1"/>
      <c r="P644" s="1"/>
      <c r="Q644" s="1"/>
      <c r="R644" s="1"/>
      <c r="S644" s="1"/>
      <c r="T644" s="1"/>
      <c r="U644" s="1"/>
      <c r="V644" s="1"/>
      <c r="W644" s="1"/>
      <c r="X644" s="1"/>
      <c r="Y644" s="1"/>
    </row>
    <row r="645" customFormat="false" ht="15.75" hidden="false" customHeight="true" outlineLevel="0" collapsed="false">
      <c r="M645" s="1"/>
      <c r="N645" s="1"/>
      <c r="O645" s="1"/>
      <c r="P645" s="1"/>
      <c r="Q645" s="1"/>
      <c r="R645" s="1"/>
      <c r="S645" s="1"/>
      <c r="T645" s="1"/>
      <c r="U645" s="1"/>
      <c r="V645" s="1"/>
      <c r="W645" s="1"/>
      <c r="X645" s="1"/>
      <c r="Y645" s="1"/>
    </row>
    <row r="646" customFormat="false" ht="15.75" hidden="false" customHeight="true" outlineLevel="0" collapsed="false">
      <c r="M646" s="1"/>
      <c r="N646" s="1"/>
      <c r="O646" s="1"/>
      <c r="P646" s="1"/>
      <c r="Q646" s="1"/>
      <c r="R646" s="1"/>
      <c r="S646" s="1"/>
      <c r="T646" s="1"/>
      <c r="U646" s="1"/>
      <c r="V646" s="1"/>
      <c r="W646" s="1"/>
      <c r="X646" s="1"/>
      <c r="Y646" s="1"/>
    </row>
    <row r="647" customFormat="false" ht="15.75" hidden="false" customHeight="true" outlineLevel="0" collapsed="false">
      <c r="M647" s="1"/>
      <c r="N647" s="1"/>
      <c r="O647" s="1"/>
      <c r="P647" s="1"/>
      <c r="Q647" s="1"/>
      <c r="R647" s="1"/>
      <c r="S647" s="1"/>
      <c r="T647" s="1"/>
      <c r="U647" s="1"/>
      <c r="V647" s="1"/>
      <c r="W647" s="1"/>
      <c r="X647" s="1"/>
      <c r="Y647" s="1"/>
    </row>
    <row r="648" customFormat="false" ht="15.75" hidden="false" customHeight="true" outlineLevel="0" collapsed="false">
      <c r="M648" s="1"/>
      <c r="N648" s="1"/>
      <c r="O648" s="1"/>
      <c r="P648" s="1"/>
      <c r="Q648" s="1"/>
      <c r="R648" s="1"/>
      <c r="S648" s="1"/>
      <c r="T648" s="1"/>
      <c r="U648" s="1"/>
      <c r="V648" s="1"/>
      <c r="W648" s="1"/>
      <c r="X648" s="1"/>
      <c r="Y648" s="1"/>
    </row>
    <row r="649" customFormat="false" ht="15.75" hidden="false" customHeight="true" outlineLevel="0" collapsed="false">
      <c r="M649" s="1"/>
      <c r="N649" s="1"/>
      <c r="O649" s="1"/>
      <c r="P649" s="1"/>
      <c r="Q649" s="1"/>
      <c r="R649" s="1"/>
      <c r="S649" s="1"/>
      <c r="T649" s="1"/>
      <c r="U649" s="1"/>
      <c r="V649" s="1"/>
      <c r="W649" s="1"/>
      <c r="X649" s="1"/>
      <c r="Y649" s="1"/>
    </row>
    <row r="650" customFormat="false" ht="15.75" hidden="false" customHeight="true" outlineLevel="0" collapsed="false">
      <c r="M650" s="1"/>
      <c r="N650" s="1"/>
      <c r="O650" s="1"/>
      <c r="P650" s="1"/>
      <c r="Q650" s="1"/>
      <c r="R650" s="1"/>
      <c r="S650" s="1"/>
      <c r="T650" s="1"/>
      <c r="U650" s="1"/>
      <c r="V650" s="1"/>
      <c r="W650" s="1"/>
      <c r="X650" s="1"/>
      <c r="Y650" s="1"/>
    </row>
    <row r="651" customFormat="false" ht="15.75" hidden="false" customHeight="true" outlineLevel="0" collapsed="false">
      <c r="M651" s="1"/>
      <c r="N651" s="1"/>
      <c r="O651" s="1"/>
      <c r="P651" s="1"/>
      <c r="Q651" s="1"/>
      <c r="R651" s="1"/>
      <c r="S651" s="1"/>
      <c r="T651" s="1"/>
      <c r="U651" s="1"/>
      <c r="V651" s="1"/>
      <c r="W651" s="1"/>
      <c r="X651" s="1"/>
      <c r="Y651" s="1"/>
    </row>
    <row r="652" customFormat="false" ht="15.75" hidden="false" customHeight="true" outlineLevel="0" collapsed="false">
      <c r="M652" s="1"/>
      <c r="N652" s="1"/>
      <c r="O652" s="1"/>
      <c r="P652" s="1"/>
      <c r="Q652" s="1"/>
      <c r="R652" s="1"/>
      <c r="S652" s="1"/>
      <c r="T652" s="1"/>
      <c r="U652" s="1"/>
      <c r="V652" s="1"/>
      <c r="W652" s="1"/>
      <c r="X652" s="1"/>
      <c r="Y652" s="1"/>
    </row>
    <row r="653" customFormat="false" ht="15.75" hidden="false" customHeight="true" outlineLevel="0" collapsed="false">
      <c r="M653" s="1"/>
      <c r="N653" s="1"/>
      <c r="O653" s="1"/>
      <c r="P653" s="1"/>
      <c r="Q653" s="1"/>
      <c r="R653" s="1"/>
      <c r="S653" s="1"/>
      <c r="T653" s="1"/>
      <c r="U653" s="1"/>
      <c r="V653" s="1"/>
      <c r="W653" s="1"/>
      <c r="X653" s="1"/>
      <c r="Y653" s="1"/>
    </row>
    <row r="654" customFormat="false" ht="15.75" hidden="false" customHeight="true" outlineLevel="0" collapsed="false">
      <c r="M654" s="1"/>
      <c r="N654" s="1"/>
      <c r="O654" s="1"/>
      <c r="P654" s="1"/>
      <c r="Q654" s="1"/>
      <c r="R654" s="1"/>
      <c r="S654" s="1"/>
      <c r="T654" s="1"/>
      <c r="U654" s="1"/>
      <c r="V654" s="1"/>
      <c r="W654" s="1"/>
      <c r="X654" s="1"/>
      <c r="Y654" s="1"/>
    </row>
    <row r="655" customFormat="false" ht="15.75" hidden="false" customHeight="true" outlineLevel="0" collapsed="false">
      <c r="M655" s="1"/>
      <c r="N655" s="1"/>
      <c r="O655" s="1"/>
      <c r="P655" s="1"/>
      <c r="Q655" s="1"/>
      <c r="R655" s="1"/>
      <c r="S655" s="1"/>
      <c r="T655" s="1"/>
      <c r="U655" s="1"/>
      <c r="V655" s="1"/>
      <c r="W655" s="1"/>
      <c r="X655" s="1"/>
      <c r="Y655" s="1"/>
    </row>
    <row r="656" customFormat="false" ht="15.75" hidden="false" customHeight="true" outlineLevel="0" collapsed="false">
      <c r="M656" s="1"/>
      <c r="N656" s="1"/>
      <c r="O656" s="1"/>
      <c r="P656" s="1"/>
      <c r="Q656" s="1"/>
      <c r="R656" s="1"/>
      <c r="S656" s="1"/>
      <c r="T656" s="1"/>
      <c r="U656" s="1"/>
      <c r="V656" s="1"/>
      <c r="W656" s="1"/>
      <c r="X656" s="1"/>
      <c r="Y656" s="1"/>
    </row>
    <row r="657" customFormat="false" ht="15.75" hidden="false" customHeight="true" outlineLevel="0" collapsed="false">
      <c r="M657" s="1"/>
      <c r="N657" s="1"/>
      <c r="O657" s="1"/>
      <c r="P657" s="1"/>
      <c r="Q657" s="1"/>
      <c r="R657" s="1"/>
      <c r="S657" s="1"/>
      <c r="T657" s="1"/>
      <c r="U657" s="1"/>
      <c r="V657" s="1"/>
      <c r="W657" s="1"/>
      <c r="X657" s="1"/>
      <c r="Y657" s="1"/>
    </row>
    <row r="658" customFormat="false" ht="15.75" hidden="false" customHeight="true" outlineLevel="0" collapsed="false">
      <c r="M658" s="1"/>
      <c r="N658" s="1"/>
      <c r="O658" s="1"/>
      <c r="P658" s="1"/>
      <c r="Q658" s="1"/>
      <c r="R658" s="1"/>
      <c r="S658" s="1"/>
      <c r="T658" s="1"/>
      <c r="U658" s="1"/>
      <c r="V658" s="1"/>
      <c r="W658" s="1"/>
      <c r="X658" s="1"/>
      <c r="Y658" s="1"/>
    </row>
    <row r="659" customFormat="false" ht="15.75" hidden="false" customHeight="true" outlineLevel="0" collapsed="false">
      <c r="M659" s="1"/>
      <c r="N659" s="1"/>
      <c r="O659" s="1"/>
      <c r="P659" s="1"/>
      <c r="Q659" s="1"/>
      <c r="R659" s="1"/>
      <c r="S659" s="1"/>
      <c r="T659" s="1"/>
      <c r="U659" s="1"/>
      <c r="V659" s="1"/>
      <c r="W659" s="1"/>
      <c r="X659" s="1"/>
      <c r="Y659" s="1"/>
    </row>
    <row r="660" customFormat="false" ht="15.75" hidden="false" customHeight="true" outlineLevel="0" collapsed="false">
      <c r="M660" s="1"/>
      <c r="N660" s="1"/>
      <c r="O660" s="1"/>
      <c r="P660" s="1"/>
      <c r="Q660" s="1"/>
      <c r="R660" s="1"/>
      <c r="S660" s="1"/>
      <c r="T660" s="1"/>
      <c r="U660" s="1"/>
      <c r="V660" s="1"/>
      <c r="W660" s="1"/>
      <c r="X660" s="1"/>
      <c r="Y660" s="1"/>
    </row>
    <row r="661" customFormat="false" ht="15.75" hidden="false" customHeight="true" outlineLevel="0" collapsed="false">
      <c r="M661" s="1"/>
      <c r="N661" s="1"/>
      <c r="O661" s="1"/>
      <c r="P661" s="1"/>
      <c r="Q661" s="1"/>
      <c r="R661" s="1"/>
      <c r="S661" s="1"/>
      <c r="T661" s="1"/>
      <c r="U661" s="1"/>
      <c r="V661" s="1"/>
      <c r="W661" s="1"/>
      <c r="X661" s="1"/>
      <c r="Y661" s="1"/>
    </row>
    <row r="662" customFormat="false" ht="15.75" hidden="false" customHeight="true" outlineLevel="0" collapsed="false">
      <c r="M662" s="1"/>
      <c r="N662" s="1"/>
      <c r="O662" s="1"/>
      <c r="P662" s="1"/>
      <c r="Q662" s="1"/>
      <c r="R662" s="1"/>
      <c r="S662" s="1"/>
      <c r="T662" s="1"/>
      <c r="U662" s="1"/>
      <c r="V662" s="1"/>
      <c r="W662" s="1"/>
      <c r="X662" s="1"/>
      <c r="Y662" s="1"/>
    </row>
    <row r="663" customFormat="false" ht="15.75" hidden="false" customHeight="true" outlineLevel="0" collapsed="false">
      <c r="M663" s="1"/>
      <c r="N663" s="1"/>
      <c r="O663" s="1"/>
      <c r="P663" s="1"/>
      <c r="Q663" s="1"/>
      <c r="R663" s="1"/>
      <c r="S663" s="1"/>
      <c r="T663" s="1"/>
      <c r="U663" s="1"/>
      <c r="V663" s="1"/>
      <c r="W663" s="1"/>
      <c r="X663" s="1"/>
      <c r="Y663" s="1"/>
    </row>
    <row r="664" customFormat="false" ht="15.75" hidden="false" customHeight="true" outlineLevel="0" collapsed="false">
      <c r="M664" s="1"/>
      <c r="N664" s="1"/>
      <c r="O664" s="1"/>
      <c r="P664" s="1"/>
      <c r="Q664" s="1"/>
      <c r="R664" s="1"/>
      <c r="S664" s="1"/>
      <c r="T664" s="1"/>
      <c r="U664" s="1"/>
      <c r="V664" s="1"/>
      <c r="W664" s="1"/>
      <c r="X664" s="1"/>
      <c r="Y664" s="1"/>
    </row>
    <row r="665" customFormat="false" ht="15.75" hidden="false" customHeight="true" outlineLevel="0" collapsed="false">
      <c r="M665" s="1"/>
      <c r="N665" s="1"/>
      <c r="O665" s="1"/>
      <c r="P665" s="1"/>
      <c r="Q665" s="1"/>
      <c r="R665" s="1"/>
      <c r="S665" s="1"/>
      <c r="T665" s="1"/>
      <c r="U665" s="1"/>
      <c r="V665" s="1"/>
      <c r="W665" s="1"/>
      <c r="X665" s="1"/>
      <c r="Y665" s="1"/>
    </row>
    <row r="666" customFormat="false" ht="15.75" hidden="false" customHeight="true" outlineLevel="0" collapsed="false">
      <c r="M666" s="1"/>
      <c r="N666" s="1"/>
      <c r="O666" s="1"/>
      <c r="P666" s="1"/>
      <c r="Q666" s="1"/>
      <c r="R666" s="1"/>
      <c r="S666" s="1"/>
      <c r="T666" s="1"/>
      <c r="U666" s="1"/>
      <c r="V666" s="1"/>
      <c r="W666" s="1"/>
      <c r="X666" s="1"/>
      <c r="Y666" s="1"/>
    </row>
    <row r="667" customFormat="false" ht="15.75" hidden="false" customHeight="true" outlineLevel="0" collapsed="false">
      <c r="M667" s="1"/>
      <c r="N667" s="1"/>
      <c r="O667" s="1"/>
      <c r="P667" s="1"/>
      <c r="Q667" s="1"/>
      <c r="R667" s="1"/>
      <c r="S667" s="1"/>
      <c r="T667" s="1"/>
      <c r="U667" s="1"/>
      <c r="V667" s="1"/>
      <c r="W667" s="1"/>
      <c r="X667" s="1"/>
      <c r="Y667" s="1"/>
    </row>
    <row r="668" customFormat="false" ht="15.75" hidden="false" customHeight="true" outlineLevel="0" collapsed="false">
      <c r="M668" s="1"/>
      <c r="N668" s="1"/>
      <c r="O668" s="1"/>
      <c r="P668" s="1"/>
      <c r="Q668" s="1"/>
      <c r="R668" s="1"/>
      <c r="S668" s="1"/>
      <c r="T668" s="1"/>
      <c r="U668" s="1"/>
      <c r="V668" s="1"/>
      <c r="W668" s="1"/>
      <c r="X668" s="1"/>
      <c r="Y668" s="1"/>
    </row>
    <row r="669" customFormat="false" ht="15.75" hidden="false" customHeight="true" outlineLevel="0" collapsed="false">
      <c r="M669" s="1"/>
      <c r="N669" s="1"/>
      <c r="O669" s="1"/>
      <c r="P669" s="1"/>
      <c r="Q669" s="1"/>
      <c r="R669" s="1"/>
      <c r="S669" s="1"/>
      <c r="T669" s="1"/>
      <c r="U669" s="1"/>
      <c r="V669" s="1"/>
      <c r="W669" s="1"/>
      <c r="X669" s="1"/>
      <c r="Y669" s="1"/>
    </row>
    <row r="670" customFormat="false" ht="15.75" hidden="false" customHeight="true" outlineLevel="0" collapsed="false">
      <c r="M670" s="1"/>
      <c r="N670" s="1"/>
      <c r="O670" s="1"/>
      <c r="P670" s="1"/>
      <c r="Q670" s="1"/>
      <c r="R670" s="1"/>
      <c r="S670" s="1"/>
      <c r="T670" s="1"/>
      <c r="U670" s="1"/>
      <c r="V670" s="1"/>
      <c r="W670" s="1"/>
      <c r="X670" s="1"/>
      <c r="Y670" s="1"/>
    </row>
    <row r="671" customFormat="false" ht="15.75" hidden="false" customHeight="true" outlineLevel="0" collapsed="false">
      <c r="M671" s="1"/>
      <c r="N671" s="1"/>
      <c r="O671" s="1"/>
      <c r="P671" s="1"/>
      <c r="Q671" s="1"/>
      <c r="R671" s="1"/>
      <c r="S671" s="1"/>
      <c r="T671" s="1"/>
      <c r="U671" s="1"/>
      <c r="V671" s="1"/>
      <c r="W671" s="1"/>
      <c r="X671" s="1"/>
      <c r="Y671" s="1"/>
    </row>
    <row r="672" customFormat="false" ht="15.75" hidden="false" customHeight="true" outlineLevel="0" collapsed="false">
      <c r="M672" s="1"/>
      <c r="N672" s="1"/>
      <c r="O672" s="1"/>
      <c r="P672" s="1"/>
      <c r="Q672" s="1"/>
      <c r="R672" s="1"/>
      <c r="S672" s="1"/>
      <c r="T672" s="1"/>
      <c r="U672" s="1"/>
      <c r="V672" s="1"/>
      <c r="W672" s="1"/>
      <c r="X672" s="1"/>
      <c r="Y672" s="1"/>
    </row>
    <row r="673" customFormat="false" ht="15.75" hidden="false" customHeight="true" outlineLevel="0" collapsed="false">
      <c r="M673" s="1"/>
      <c r="N673" s="1"/>
      <c r="O673" s="1"/>
      <c r="P673" s="1"/>
      <c r="Q673" s="1"/>
      <c r="R673" s="1"/>
      <c r="S673" s="1"/>
      <c r="T673" s="1"/>
      <c r="U673" s="1"/>
      <c r="V673" s="1"/>
      <c r="W673" s="1"/>
      <c r="X673" s="1"/>
      <c r="Y673" s="1"/>
    </row>
    <row r="674" customFormat="false" ht="15.75" hidden="false" customHeight="true" outlineLevel="0" collapsed="false">
      <c r="M674" s="1"/>
      <c r="N674" s="1"/>
      <c r="O674" s="1"/>
      <c r="P674" s="1"/>
      <c r="Q674" s="1"/>
      <c r="R674" s="1"/>
      <c r="S674" s="1"/>
      <c r="T674" s="1"/>
      <c r="U674" s="1"/>
      <c r="V674" s="1"/>
      <c r="W674" s="1"/>
      <c r="X674" s="1"/>
      <c r="Y674" s="1"/>
    </row>
    <row r="675" customFormat="false" ht="15.75" hidden="false" customHeight="true" outlineLevel="0" collapsed="false">
      <c r="M675" s="1"/>
      <c r="N675" s="1"/>
      <c r="O675" s="1"/>
      <c r="P675" s="1"/>
      <c r="Q675" s="1"/>
      <c r="R675" s="1"/>
      <c r="S675" s="1"/>
      <c r="T675" s="1"/>
      <c r="U675" s="1"/>
      <c r="V675" s="1"/>
      <c r="W675" s="1"/>
      <c r="X675" s="1"/>
      <c r="Y675" s="1"/>
    </row>
    <row r="676" customFormat="false" ht="15.75" hidden="false" customHeight="true" outlineLevel="0" collapsed="false">
      <c r="M676" s="1"/>
      <c r="N676" s="1"/>
      <c r="O676" s="1"/>
      <c r="P676" s="1"/>
      <c r="Q676" s="1"/>
      <c r="R676" s="1"/>
      <c r="S676" s="1"/>
      <c r="T676" s="1"/>
      <c r="U676" s="1"/>
      <c r="V676" s="1"/>
      <c r="W676" s="1"/>
      <c r="X676" s="1"/>
      <c r="Y676" s="1"/>
    </row>
    <row r="677" customFormat="false" ht="15.75" hidden="false" customHeight="true" outlineLevel="0" collapsed="false">
      <c r="M677" s="1"/>
      <c r="N677" s="1"/>
      <c r="O677" s="1"/>
      <c r="P677" s="1"/>
      <c r="Q677" s="1"/>
      <c r="R677" s="1"/>
      <c r="S677" s="1"/>
      <c r="T677" s="1"/>
      <c r="U677" s="1"/>
      <c r="V677" s="1"/>
      <c r="W677" s="1"/>
      <c r="X677" s="1"/>
      <c r="Y677" s="1"/>
    </row>
    <row r="678" customFormat="false" ht="15.75" hidden="false" customHeight="true" outlineLevel="0" collapsed="false">
      <c r="M678" s="1"/>
      <c r="N678" s="1"/>
      <c r="O678" s="1"/>
      <c r="P678" s="1"/>
      <c r="Q678" s="1"/>
      <c r="R678" s="1"/>
      <c r="S678" s="1"/>
      <c r="T678" s="1"/>
      <c r="U678" s="1"/>
      <c r="V678" s="1"/>
      <c r="W678" s="1"/>
      <c r="X678" s="1"/>
      <c r="Y678" s="1"/>
    </row>
    <row r="679" customFormat="false" ht="15.75" hidden="false" customHeight="true" outlineLevel="0" collapsed="false">
      <c r="M679" s="1"/>
      <c r="N679" s="1"/>
      <c r="O679" s="1"/>
      <c r="P679" s="1"/>
      <c r="Q679" s="1"/>
      <c r="R679" s="1"/>
      <c r="S679" s="1"/>
      <c r="T679" s="1"/>
      <c r="U679" s="1"/>
      <c r="V679" s="1"/>
      <c r="W679" s="1"/>
      <c r="X679" s="1"/>
      <c r="Y679" s="1"/>
    </row>
    <row r="680" customFormat="false" ht="15.75" hidden="false" customHeight="true" outlineLevel="0" collapsed="false">
      <c r="M680" s="1"/>
      <c r="N680" s="1"/>
      <c r="O680" s="1"/>
      <c r="P680" s="1"/>
      <c r="Q680" s="1"/>
      <c r="R680" s="1"/>
      <c r="S680" s="1"/>
      <c r="T680" s="1"/>
      <c r="U680" s="1"/>
      <c r="V680" s="1"/>
      <c r="W680" s="1"/>
      <c r="X680" s="1"/>
      <c r="Y680" s="1"/>
    </row>
    <row r="681" customFormat="false" ht="15.75" hidden="false" customHeight="true" outlineLevel="0" collapsed="false">
      <c r="M681" s="1"/>
      <c r="N681" s="1"/>
      <c r="O681" s="1"/>
      <c r="P681" s="1"/>
      <c r="Q681" s="1"/>
      <c r="R681" s="1"/>
      <c r="S681" s="1"/>
      <c r="T681" s="1"/>
      <c r="U681" s="1"/>
      <c r="V681" s="1"/>
      <c r="W681" s="1"/>
      <c r="X681" s="1"/>
      <c r="Y681" s="1"/>
    </row>
    <row r="682" customFormat="false" ht="15.75" hidden="false" customHeight="true" outlineLevel="0" collapsed="false">
      <c r="M682" s="1"/>
      <c r="N682" s="1"/>
      <c r="O682" s="1"/>
      <c r="P682" s="1"/>
      <c r="Q682" s="1"/>
      <c r="R682" s="1"/>
      <c r="S682" s="1"/>
      <c r="T682" s="1"/>
      <c r="U682" s="1"/>
      <c r="V682" s="1"/>
      <c r="W682" s="1"/>
      <c r="X682" s="1"/>
      <c r="Y682" s="1"/>
    </row>
    <row r="683" customFormat="false" ht="15.75" hidden="false" customHeight="true" outlineLevel="0" collapsed="false">
      <c r="M683" s="1"/>
      <c r="N683" s="1"/>
      <c r="O683" s="1"/>
      <c r="P683" s="1"/>
      <c r="Q683" s="1"/>
      <c r="R683" s="1"/>
      <c r="S683" s="1"/>
      <c r="T683" s="1"/>
      <c r="U683" s="1"/>
      <c r="V683" s="1"/>
      <c r="W683" s="1"/>
      <c r="X683" s="1"/>
      <c r="Y683" s="1"/>
    </row>
    <row r="684" customFormat="false" ht="15.75" hidden="false" customHeight="true" outlineLevel="0" collapsed="false">
      <c r="M684" s="1"/>
      <c r="N684" s="1"/>
      <c r="O684" s="1"/>
      <c r="P684" s="1"/>
      <c r="Q684" s="1"/>
      <c r="R684" s="1"/>
      <c r="S684" s="1"/>
      <c r="T684" s="1"/>
      <c r="U684" s="1"/>
      <c r="V684" s="1"/>
      <c r="W684" s="1"/>
      <c r="X684" s="1"/>
      <c r="Y684" s="1"/>
    </row>
    <row r="685" customFormat="false" ht="15.75" hidden="false" customHeight="true" outlineLevel="0" collapsed="false">
      <c r="M685" s="1"/>
      <c r="N685" s="1"/>
      <c r="O685" s="1"/>
      <c r="P685" s="1"/>
      <c r="Q685" s="1"/>
      <c r="R685" s="1"/>
      <c r="S685" s="1"/>
      <c r="T685" s="1"/>
      <c r="U685" s="1"/>
      <c r="V685" s="1"/>
      <c r="W685" s="1"/>
      <c r="X685" s="1"/>
      <c r="Y685" s="1"/>
    </row>
    <row r="686" customFormat="false" ht="15.75" hidden="false" customHeight="true" outlineLevel="0" collapsed="false">
      <c r="M686" s="1"/>
      <c r="N686" s="1"/>
      <c r="O686" s="1"/>
      <c r="P686" s="1"/>
      <c r="Q686" s="1"/>
      <c r="R686" s="1"/>
      <c r="S686" s="1"/>
      <c r="T686" s="1"/>
      <c r="U686" s="1"/>
      <c r="V686" s="1"/>
      <c r="W686" s="1"/>
      <c r="X686" s="1"/>
      <c r="Y686" s="1"/>
    </row>
    <row r="687" customFormat="false" ht="15.75" hidden="false" customHeight="true" outlineLevel="0" collapsed="false">
      <c r="M687" s="1"/>
      <c r="N687" s="1"/>
      <c r="O687" s="1"/>
      <c r="P687" s="1"/>
      <c r="Q687" s="1"/>
      <c r="R687" s="1"/>
      <c r="S687" s="1"/>
      <c r="T687" s="1"/>
      <c r="U687" s="1"/>
      <c r="V687" s="1"/>
      <c r="W687" s="1"/>
      <c r="X687" s="1"/>
      <c r="Y687" s="1"/>
    </row>
    <row r="688" customFormat="false" ht="15.75" hidden="false" customHeight="true" outlineLevel="0" collapsed="false">
      <c r="M688" s="1"/>
      <c r="N688" s="1"/>
      <c r="O688" s="1"/>
      <c r="P688" s="1"/>
      <c r="Q688" s="1"/>
      <c r="R688" s="1"/>
      <c r="S688" s="1"/>
      <c r="T688" s="1"/>
      <c r="U688" s="1"/>
      <c r="V688" s="1"/>
      <c r="W688" s="1"/>
      <c r="X688" s="1"/>
      <c r="Y688" s="1"/>
    </row>
    <row r="689" customFormat="false" ht="15.75" hidden="false" customHeight="true" outlineLevel="0" collapsed="false">
      <c r="M689" s="1"/>
      <c r="N689" s="1"/>
      <c r="O689" s="1"/>
      <c r="P689" s="1"/>
      <c r="Q689" s="1"/>
      <c r="R689" s="1"/>
      <c r="S689" s="1"/>
      <c r="T689" s="1"/>
      <c r="U689" s="1"/>
      <c r="V689" s="1"/>
      <c r="W689" s="1"/>
      <c r="X689" s="1"/>
      <c r="Y689" s="1"/>
    </row>
    <row r="690" customFormat="false" ht="15.75" hidden="false" customHeight="true" outlineLevel="0" collapsed="false">
      <c r="M690" s="1"/>
      <c r="N690" s="1"/>
      <c r="O690" s="1"/>
      <c r="P690" s="1"/>
      <c r="Q690" s="1"/>
      <c r="R690" s="1"/>
      <c r="S690" s="1"/>
      <c r="T690" s="1"/>
      <c r="U690" s="1"/>
      <c r="V690" s="1"/>
      <c r="W690" s="1"/>
      <c r="X690" s="1"/>
      <c r="Y690" s="1"/>
    </row>
    <row r="691" customFormat="false" ht="15.75" hidden="false" customHeight="true" outlineLevel="0" collapsed="false">
      <c r="M691" s="1"/>
      <c r="N691" s="1"/>
      <c r="O691" s="1"/>
      <c r="P691" s="1"/>
      <c r="Q691" s="1"/>
      <c r="R691" s="1"/>
      <c r="S691" s="1"/>
      <c r="T691" s="1"/>
      <c r="U691" s="1"/>
      <c r="V691" s="1"/>
      <c r="W691" s="1"/>
      <c r="X691" s="1"/>
      <c r="Y691" s="1"/>
    </row>
    <row r="692" customFormat="false" ht="15.75" hidden="false" customHeight="true" outlineLevel="0" collapsed="false">
      <c r="M692" s="1"/>
      <c r="N692" s="1"/>
      <c r="O692" s="1"/>
      <c r="P692" s="1"/>
      <c r="Q692" s="1"/>
      <c r="R692" s="1"/>
      <c r="S692" s="1"/>
      <c r="T692" s="1"/>
      <c r="U692" s="1"/>
      <c r="V692" s="1"/>
      <c r="W692" s="1"/>
      <c r="X692" s="1"/>
      <c r="Y692" s="1"/>
    </row>
    <row r="693" customFormat="false" ht="15.75" hidden="false" customHeight="true" outlineLevel="0" collapsed="false">
      <c r="M693" s="1"/>
      <c r="N693" s="1"/>
      <c r="O693" s="1"/>
      <c r="P693" s="1"/>
      <c r="Q693" s="1"/>
      <c r="R693" s="1"/>
      <c r="S693" s="1"/>
      <c r="T693" s="1"/>
      <c r="U693" s="1"/>
      <c r="V693" s="1"/>
      <c r="W693" s="1"/>
      <c r="X693" s="1"/>
      <c r="Y693" s="1"/>
    </row>
    <row r="694" customFormat="false" ht="15.75" hidden="false" customHeight="true" outlineLevel="0" collapsed="false">
      <c r="M694" s="1"/>
      <c r="N694" s="1"/>
      <c r="O694" s="1"/>
      <c r="P694" s="1"/>
      <c r="Q694" s="1"/>
      <c r="R694" s="1"/>
      <c r="S694" s="1"/>
      <c r="T694" s="1"/>
      <c r="U694" s="1"/>
      <c r="V694" s="1"/>
      <c r="W694" s="1"/>
      <c r="X694" s="1"/>
      <c r="Y694" s="1"/>
    </row>
    <row r="695" customFormat="false" ht="15.75" hidden="false" customHeight="true" outlineLevel="0" collapsed="false">
      <c r="M695" s="1"/>
      <c r="N695" s="1"/>
      <c r="O695" s="1"/>
      <c r="P695" s="1"/>
      <c r="Q695" s="1"/>
      <c r="R695" s="1"/>
      <c r="S695" s="1"/>
      <c r="T695" s="1"/>
      <c r="U695" s="1"/>
      <c r="V695" s="1"/>
      <c r="W695" s="1"/>
      <c r="X695" s="1"/>
      <c r="Y695" s="1"/>
    </row>
    <row r="696" customFormat="false" ht="15.75" hidden="false" customHeight="true" outlineLevel="0" collapsed="false">
      <c r="M696" s="1"/>
      <c r="N696" s="1"/>
      <c r="O696" s="1"/>
      <c r="P696" s="1"/>
      <c r="Q696" s="1"/>
      <c r="R696" s="1"/>
      <c r="S696" s="1"/>
      <c r="T696" s="1"/>
      <c r="U696" s="1"/>
      <c r="V696" s="1"/>
      <c r="W696" s="1"/>
      <c r="X696" s="1"/>
      <c r="Y696" s="1"/>
    </row>
    <row r="697" customFormat="false" ht="15.75" hidden="false" customHeight="true" outlineLevel="0" collapsed="false">
      <c r="M697" s="1"/>
      <c r="N697" s="1"/>
      <c r="O697" s="1"/>
      <c r="P697" s="1"/>
      <c r="Q697" s="1"/>
      <c r="R697" s="1"/>
      <c r="S697" s="1"/>
      <c r="T697" s="1"/>
      <c r="U697" s="1"/>
      <c r="V697" s="1"/>
      <c r="W697" s="1"/>
      <c r="X697" s="1"/>
      <c r="Y697" s="1"/>
    </row>
    <row r="698" customFormat="false" ht="15.75" hidden="false" customHeight="true" outlineLevel="0" collapsed="false">
      <c r="M698" s="1"/>
      <c r="N698" s="1"/>
      <c r="O698" s="1"/>
      <c r="P698" s="1"/>
      <c r="Q698" s="1"/>
      <c r="R698" s="1"/>
      <c r="S698" s="1"/>
      <c r="T698" s="1"/>
      <c r="U698" s="1"/>
      <c r="V698" s="1"/>
      <c r="W698" s="1"/>
      <c r="X698" s="1"/>
      <c r="Y698" s="1"/>
    </row>
    <row r="699" customFormat="false" ht="15.75" hidden="false" customHeight="true" outlineLevel="0" collapsed="false">
      <c r="M699" s="1"/>
      <c r="N699" s="1"/>
      <c r="O699" s="1"/>
      <c r="P699" s="1"/>
      <c r="Q699" s="1"/>
      <c r="R699" s="1"/>
      <c r="S699" s="1"/>
      <c r="T699" s="1"/>
      <c r="U699" s="1"/>
      <c r="V699" s="1"/>
      <c r="W699" s="1"/>
      <c r="X699" s="1"/>
      <c r="Y699" s="1"/>
    </row>
    <row r="700" customFormat="false" ht="15.75" hidden="false" customHeight="true" outlineLevel="0" collapsed="false">
      <c r="M700" s="1"/>
      <c r="N700" s="1"/>
      <c r="O700" s="1"/>
      <c r="P700" s="1"/>
      <c r="Q700" s="1"/>
      <c r="R700" s="1"/>
      <c r="S700" s="1"/>
      <c r="T700" s="1"/>
      <c r="U700" s="1"/>
      <c r="V700" s="1"/>
      <c r="W700" s="1"/>
      <c r="X700" s="1"/>
      <c r="Y700" s="1"/>
    </row>
    <row r="701" customFormat="false" ht="15.75" hidden="false" customHeight="true" outlineLevel="0" collapsed="false">
      <c r="M701" s="1"/>
      <c r="N701" s="1"/>
      <c r="O701" s="1"/>
      <c r="P701" s="1"/>
      <c r="Q701" s="1"/>
      <c r="R701" s="1"/>
      <c r="S701" s="1"/>
      <c r="T701" s="1"/>
      <c r="U701" s="1"/>
      <c r="V701" s="1"/>
      <c r="W701" s="1"/>
      <c r="X701" s="1"/>
      <c r="Y701" s="1"/>
    </row>
    <row r="702" customFormat="false" ht="15.75" hidden="false" customHeight="true" outlineLevel="0" collapsed="false">
      <c r="M702" s="1"/>
      <c r="N702" s="1"/>
      <c r="O702" s="1"/>
      <c r="P702" s="1"/>
      <c r="Q702" s="1"/>
      <c r="R702" s="1"/>
      <c r="S702" s="1"/>
      <c r="T702" s="1"/>
      <c r="U702" s="1"/>
      <c r="V702" s="1"/>
      <c r="W702" s="1"/>
      <c r="X702" s="1"/>
      <c r="Y702" s="1"/>
    </row>
    <row r="703" customFormat="false" ht="15.75" hidden="false" customHeight="true" outlineLevel="0" collapsed="false">
      <c r="M703" s="1"/>
      <c r="N703" s="1"/>
      <c r="O703" s="1"/>
      <c r="P703" s="1"/>
      <c r="Q703" s="1"/>
      <c r="R703" s="1"/>
      <c r="S703" s="1"/>
      <c r="T703" s="1"/>
      <c r="U703" s="1"/>
      <c r="V703" s="1"/>
      <c r="W703" s="1"/>
      <c r="X703" s="1"/>
      <c r="Y703" s="1"/>
    </row>
    <row r="704" customFormat="false" ht="15.75" hidden="false" customHeight="true" outlineLevel="0" collapsed="false">
      <c r="M704" s="1"/>
      <c r="N704" s="1"/>
      <c r="O704" s="1"/>
      <c r="P704" s="1"/>
      <c r="Q704" s="1"/>
      <c r="R704" s="1"/>
      <c r="S704" s="1"/>
      <c r="T704" s="1"/>
      <c r="U704" s="1"/>
      <c r="V704" s="1"/>
      <c r="W704" s="1"/>
      <c r="X704" s="1"/>
      <c r="Y704" s="1"/>
    </row>
    <row r="705" customFormat="false" ht="15.75" hidden="false" customHeight="true" outlineLevel="0" collapsed="false">
      <c r="M705" s="1"/>
      <c r="N705" s="1"/>
      <c r="O705" s="1"/>
      <c r="P705" s="1"/>
      <c r="Q705" s="1"/>
      <c r="R705" s="1"/>
      <c r="S705" s="1"/>
      <c r="T705" s="1"/>
      <c r="U705" s="1"/>
      <c r="V705" s="1"/>
      <c r="W705" s="1"/>
      <c r="X705" s="1"/>
      <c r="Y705" s="1"/>
    </row>
    <row r="706" customFormat="false" ht="15.75" hidden="false" customHeight="true" outlineLevel="0" collapsed="false">
      <c r="M706" s="1"/>
      <c r="N706" s="1"/>
      <c r="O706" s="1"/>
      <c r="P706" s="1"/>
      <c r="Q706" s="1"/>
      <c r="R706" s="1"/>
      <c r="S706" s="1"/>
      <c r="T706" s="1"/>
      <c r="U706" s="1"/>
      <c r="V706" s="1"/>
      <c r="W706" s="1"/>
      <c r="X706" s="1"/>
      <c r="Y706" s="1"/>
    </row>
    <row r="707" customFormat="false" ht="15.75" hidden="false" customHeight="true" outlineLevel="0" collapsed="false">
      <c r="M707" s="1"/>
      <c r="N707" s="1"/>
      <c r="O707" s="1"/>
      <c r="P707" s="1"/>
      <c r="Q707" s="1"/>
      <c r="R707" s="1"/>
      <c r="S707" s="1"/>
      <c r="T707" s="1"/>
      <c r="U707" s="1"/>
      <c r="V707" s="1"/>
      <c r="W707" s="1"/>
      <c r="X707" s="1"/>
      <c r="Y707" s="1"/>
    </row>
    <row r="708" customFormat="false" ht="15.75" hidden="false" customHeight="true" outlineLevel="0" collapsed="false">
      <c r="M708" s="1"/>
      <c r="N708" s="1"/>
      <c r="O708" s="1"/>
      <c r="P708" s="1"/>
      <c r="Q708" s="1"/>
      <c r="R708" s="1"/>
      <c r="S708" s="1"/>
      <c r="T708" s="1"/>
      <c r="U708" s="1"/>
      <c r="V708" s="1"/>
      <c r="W708" s="1"/>
      <c r="X708" s="1"/>
      <c r="Y708" s="1"/>
    </row>
    <row r="709" customFormat="false" ht="15.75" hidden="false" customHeight="true" outlineLevel="0" collapsed="false">
      <c r="M709" s="1"/>
      <c r="N709" s="1"/>
      <c r="O709" s="1"/>
      <c r="P709" s="1"/>
      <c r="Q709" s="1"/>
      <c r="R709" s="1"/>
      <c r="S709" s="1"/>
      <c r="T709" s="1"/>
      <c r="U709" s="1"/>
      <c r="V709" s="1"/>
      <c r="W709" s="1"/>
      <c r="X709" s="1"/>
      <c r="Y709" s="1"/>
    </row>
    <row r="710" customFormat="false" ht="15.75" hidden="false" customHeight="true" outlineLevel="0" collapsed="false">
      <c r="M710" s="1"/>
      <c r="N710" s="1"/>
      <c r="O710" s="1"/>
      <c r="P710" s="1"/>
      <c r="Q710" s="1"/>
      <c r="R710" s="1"/>
      <c r="S710" s="1"/>
      <c r="T710" s="1"/>
      <c r="U710" s="1"/>
      <c r="V710" s="1"/>
      <c r="W710" s="1"/>
      <c r="X710" s="1"/>
      <c r="Y710" s="1"/>
    </row>
    <row r="711" customFormat="false" ht="15.75" hidden="false" customHeight="true" outlineLevel="0" collapsed="false">
      <c r="M711" s="1"/>
      <c r="N711" s="1"/>
      <c r="O711" s="1"/>
      <c r="P711" s="1"/>
      <c r="Q711" s="1"/>
      <c r="R711" s="1"/>
      <c r="S711" s="1"/>
      <c r="T711" s="1"/>
      <c r="U711" s="1"/>
      <c r="V711" s="1"/>
      <c r="W711" s="1"/>
      <c r="X711" s="1"/>
      <c r="Y711" s="1"/>
    </row>
    <row r="712" customFormat="false" ht="15.75" hidden="false" customHeight="true" outlineLevel="0" collapsed="false">
      <c r="M712" s="1"/>
      <c r="N712" s="1"/>
      <c r="O712" s="1"/>
      <c r="P712" s="1"/>
      <c r="Q712" s="1"/>
      <c r="R712" s="1"/>
      <c r="S712" s="1"/>
      <c r="T712" s="1"/>
      <c r="U712" s="1"/>
      <c r="V712" s="1"/>
      <c r="W712" s="1"/>
      <c r="X712" s="1"/>
      <c r="Y712" s="1"/>
    </row>
    <row r="713" customFormat="false" ht="15.75" hidden="false" customHeight="true" outlineLevel="0" collapsed="false">
      <c r="M713" s="1"/>
      <c r="N713" s="1"/>
      <c r="O713" s="1"/>
      <c r="P713" s="1"/>
      <c r="Q713" s="1"/>
      <c r="R713" s="1"/>
      <c r="S713" s="1"/>
      <c r="T713" s="1"/>
      <c r="U713" s="1"/>
      <c r="V713" s="1"/>
      <c r="W713" s="1"/>
      <c r="X713" s="1"/>
      <c r="Y713" s="1"/>
    </row>
    <row r="714" customFormat="false" ht="15.75" hidden="false" customHeight="true" outlineLevel="0" collapsed="false">
      <c r="M714" s="1"/>
      <c r="N714" s="1"/>
      <c r="O714" s="1"/>
      <c r="P714" s="1"/>
      <c r="Q714" s="1"/>
      <c r="R714" s="1"/>
      <c r="S714" s="1"/>
      <c r="T714" s="1"/>
      <c r="U714" s="1"/>
      <c r="V714" s="1"/>
      <c r="W714" s="1"/>
      <c r="X714" s="1"/>
      <c r="Y714" s="1"/>
    </row>
    <row r="715" customFormat="false" ht="15.75" hidden="false" customHeight="true" outlineLevel="0" collapsed="false">
      <c r="M715" s="1"/>
      <c r="N715" s="1"/>
      <c r="O715" s="1"/>
      <c r="P715" s="1"/>
      <c r="Q715" s="1"/>
      <c r="R715" s="1"/>
      <c r="S715" s="1"/>
      <c r="T715" s="1"/>
      <c r="U715" s="1"/>
      <c r="V715" s="1"/>
      <c r="W715" s="1"/>
      <c r="X715" s="1"/>
      <c r="Y715" s="1"/>
    </row>
    <row r="716" customFormat="false" ht="15.75" hidden="false" customHeight="true" outlineLevel="0" collapsed="false">
      <c r="M716" s="1"/>
      <c r="N716" s="1"/>
      <c r="O716" s="1"/>
      <c r="P716" s="1"/>
      <c r="Q716" s="1"/>
      <c r="R716" s="1"/>
      <c r="S716" s="1"/>
      <c r="T716" s="1"/>
      <c r="U716" s="1"/>
      <c r="V716" s="1"/>
      <c r="W716" s="1"/>
      <c r="X716" s="1"/>
      <c r="Y716" s="1"/>
    </row>
    <row r="717" customFormat="false" ht="15.75" hidden="false" customHeight="true" outlineLevel="0" collapsed="false">
      <c r="M717" s="1"/>
      <c r="N717" s="1"/>
      <c r="O717" s="1"/>
      <c r="P717" s="1"/>
      <c r="Q717" s="1"/>
      <c r="R717" s="1"/>
      <c r="S717" s="1"/>
      <c r="T717" s="1"/>
      <c r="U717" s="1"/>
      <c r="V717" s="1"/>
      <c r="W717" s="1"/>
      <c r="X717" s="1"/>
      <c r="Y717" s="1"/>
    </row>
    <row r="718" customFormat="false" ht="15.75" hidden="false" customHeight="true" outlineLevel="0" collapsed="false">
      <c r="M718" s="1"/>
      <c r="N718" s="1"/>
      <c r="O718" s="1"/>
      <c r="P718" s="1"/>
      <c r="Q718" s="1"/>
      <c r="R718" s="1"/>
      <c r="S718" s="1"/>
      <c r="T718" s="1"/>
      <c r="U718" s="1"/>
      <c r="V718" s="1"/>
      <c r="W718" s="1"/>
      <c r="X718" s="1"/>
      <c r="Y718" s="1"/>
    </row>
    <row r="719" customFormat="false" ht="15.75" hidden="false" customHeight="true" outlineLevel="0" collapsed="false">
      <c r="M719" s="1"/>
      <c r="N719" s="1"/>
      <c r="O719" s="1"/>
      <c r="P719" s="1"/>
      <c r="Q719" s="1"/>
      <c r="R719" s="1"/>
      <c r="S719" s="1"/>
      <c r="T719" s="1"/>
      <c r="U719" s="1"/>
      <c r="V719" s="1"/>
      <c r="W719" s="1"/>
      <c r="X719" s="1"/>
      <c r="Y719" s="1"/>
    </row>
    <row r="720" customFormat="false" ht="15.75" hidden="false" customHeight="true" outlineLevel="0" collapsed="false">
      <c r="M720" s="1"/>
      <c r="N720" s="1"/>
      <c r="O720" s="1"/>
      <c r="P720" s="1"/>
      <c r="Q720" s="1"/>
      <c r="R720" s="1"/>
      <c r="S720" s="1"/>
      <c r="T720" s="1"/>
      <c r="U720" s="1"/>
      <c r="V720" s="1"/>
      <c r="W720" s="1"/>
      <c r="X720" s="1"/>
      <c r="Y720" s="1"/>
    </row>
    <row r="721" customFormat="false" ht="15.75" hidden="false" customHeight="true" outlineLevel="0" collapsed="false">
      <c r="M721" s="1"/>
      <c r="N721" s="1"/>
      <c r="O721" s="1"/>
      <c r="P721" s="1"/>
      <c r="Q721" s="1"/>
      <c r="R721" s="1"/>
      <c r="S721" s="1"/>
      <c r="T721" s="1"/>
      <c r="U721" s="1"/>
      <c r="V721" s="1"/>
      <c r="W721" s="1"/>
      <c r="X721" s="1"/>
      <c r="Y721" s="1"/>
    </row>
    <row r="722" customFormat="false" ht="15.75" hidden="false" customHeight="true" outlineLevel="0" collapsed="false">
      <c r="M722" s="1"/>
      <c r="N722" s="1"/>
      <c r="O722" s="1"/>
      <c r="P722" s="1"/>
      <c r="Q722" s="1"/>
      <c r="R722" s="1"/>
      <c r="S722" s="1"/>
      <c r="T722" s="1"/>
      <c r="U722" s="1"/>
      <c r="V722" s="1"/>
      <c r="W722" s="1"/>
      <c r="X722" s="1"/>
      <c r="Y722" s="1"/>
    </row>
    <row r="723" customFormat="false" ht="15.75" hidden="false" customHeight="true" outlineLevel="0" collapsed="false">
      <c r="M723" s="1"/>
      <c r="N723" s="1"/>
      <c r="O723" s="1"/>
      <c r="P723" s="1"/>
      <c r="Q723" s="1"/>
      <c r="R723" s="1"/>
      <c r="S723" s="1"/>
      <c r="T723" s="1"/>
      <c r="U723" s="1"/>
      <c r="V723" s="1"/>
      <c r="W723" s="1"/>
      <c r="X723" s="1"/>
      <c r="Y723" s="1"/>
    </row>
    <row r="724" customFormat="false" ht="15.75" hidden="false" customHeight="true" outlineLevel="0" collapsed="false">
      <c r="M724" s="1"/>
      <c r="N724" s="1"/>
      <c r="O724" s="1"/>
      <c r="P724" s="1"/>
      <c r="Q724" s="1"/>
      <c r="R724" s="1"/>
      <c r="S724" s="1"/>
      <c r="T724" s="1"/>
      <c r="U724" s="1"/>
      <c r="V724" s="1"/>
      <c r="W724" s="1"/>
      <c r="X724" s="1"/>
      <c r="Y724" s="1"/>
    </row>
    <row r="725" customFormat="false" ht="15.75" hidden="false" customHeight="true" outlineLevel="0" collapsed="false">
      <c r="M725" s="1"/>
      <c r="N725" s="1"/>
      <c r="O725" s="1"/>
      <c r="P725" s="1"/>
      <c r="Q725" s="1"/>
      <c r="R725" s="1"/>
      <c r="S725" s="1"/>
      <c r="T725" s="1"/>
      <c r="U725" s="1"/>
      <c r="V725" s="1"/>
      <c r="W725" s="1"/>
      <c r="X725" s="1"/>
      <c r="Y725" s="1"/>
    </row>
    <row r="726" customFormat="false" ht="15.75" hidden="false" customHeight="true" outlineLevel="0" collapsed="false">
      <c r="M726" s="1"/>
      <c r="N726" s="1"/>
      <c r="O726" s="1"/>
      <c r="P726" s="1"/>
      <c r="Q726" s="1"/>
      <c r="R726" s="1"/>
      <c r="S726" s="1"/>
      <c r="T726" s="1"/>
      <c r="U726" s="1"/>
      <c r="V726" s="1"/>
      <c r="W726" s="1"/>
      <c r="X726" s="1"/>
      <c r="Y726" s="1"/>
    </row>
    <row r="727" customFormat="false" ht="15.75" hidden="false" customHeight="true" outlineLevel="0" collapsed="false">
      <c r="M727" s="1"/>
      <c r="N727" s="1"/>
      <c r="O727" s="1"/>
      <c r="P727" s="1"/>
      <c r="Q727" s="1"/>
      <c r="R727" s="1"/>
      <c r="S727" s="1"/>
      <c r="T727" s="1"/>
      <c r="U727" s="1"/>
      <c r="V727" s="1"/>
      <c r="W727" s="1"/>
      <c r="X727" s="1"/>
      <c r="Y727" s="1"/>
    </row>
    <row r="728" customFormat="false" ht="15.75" hidden="false" customHeight="true" outlineLevel="0" collapsed="false">
      <c r="M728" s="1"/>
      <c r="N728" s="1"/>
      <c r="O728" s="1"/>
      <c r="P728" s="1"/>
      <c r="Q728" s="1"/>
      <c r="R728" s="1"/>
      <c r="S728" s="1"/>
      <c r="T728" s="1"/>
      <c r="U728" s="1"/>
      <c r="V728" s="1"/>
      <c r="W728" s="1"/>
      <c r="X728" s="1"/>
      <c r="Y728" s="1"/>
    </row>
    <row r="729" customFormat="false" ht="15.75" hidden="false" customHeight="true" outlineLevel="0" collapsed="false">
      <c r="M729" s="1"/>
      <c r="N729" s="1"/>
      <c r="O729" s="1"/>
      <c r="P729" s="1"/>
      <c r="Q729" s="1"/>
      <c r="R729" s="1"/>
      <c r="S729" s="1"/>
      <c r="T729" s="1"/>
      <c r="U729" s="1"/>
      <c r="V729" s="1"/>
      <c r="W729" s="1"/>
      <c r="X729" s="1"/>
      <c r="Y729" s="1"/>
    </row>
    <row r="730" customFormat="false" ht="15.75" hidden="false" customHeight="true" outlineLevel="0" collapsed="false">
      <c r="M730" s="1"/>
      <c r="N730" s="1"/>
      <c r="O730" s="1"/>
      <c r="P730" s="1"/>
      <c r="Q730" s="1"/>
      <c r="R730" s="1"/>
      <c r="S730" s="1"/>
      <c r="T730" s="1"/>
      <c r="U730" s="1"/>
      <c r="V730" s="1"/>
      <c r="W730" s="1"/>
      <c r="X730" s="1"/>
      <c r="Y730" s="1"/>
    </row>
    <row r="731" customFormat="false" ht="15.75" hidden="false" customHeight="true" outlineLevel="0" collapsed="false">
      <c r="M731" s="1"/>
      <c r="N731" s="1"/>
      <c r="O731" s="1"/>
      <c r="P731" s="1"/>
      <c r="Q731" s="1"/>
      <c r="R731" s="1"/>
      <c r="S731" s="1"/>
      <c r="T731" s="1"/>
      <c r="U731" s="1"/>
      <c r="V731" s="1"/>
      <c r="W731" s="1"/>
      <c r="X731" s="1"/>
      <c r="Y731" s="1"/>
    </row>
    <row r="732" customFormat="false" ht="15.75" hidden="false" customHeight="true" outlineLevel="0" collapsed="false">
      <c r="M732" s="1"/>
      <c r="N732" s="1"/>
      <c r="O732" s="1"/>
      <c r="P732" s="1"/>
      <c r="Q732" s="1"/>
      <c r="R732" s="1"/>
      <c r="S732" s="1"/>
      <c r="T732" s="1"/>
      <c r="U732" s="1"/>
      <c r="V732" s="1"/>
      <c r="W732" s="1"/>
      <c r="X732" s="1"/>
      <c r="Y732" s="1"/>
    </row>
    <row r="733" customFormat="false" ht="15.75" hidden="false" customHeight="true" outlineLevel="0" collapsed="false">
      <c r="M733" s="1"/>
      <c r="N733" s="1"/>
      <c r="O733" s="1"/>
      <c r="P733" s="1"/>
      <c r="Q733" s="1"/>
      <c r="R733" s="1"/>
      <c r="S733" s="1"/>
      <c r="T733" s="1"/>
      <c r="U733" s="1"/>
      <c r="V733" s="1"/>
      <c r="W733" s="1"/>
      <c r="X733" s="1"/>
      <c r="Y733" s="1"/>
    </row>
    <row r="734" customFormat="false" ht="15.75" hidden="false" customHeight="true" outlineLevel="0" collapsed="false">
      <c r="M734" s="1"/>
      <c r="N734" s="1"/>
      <c r="O734" s="1"/>
      <c r="P734" s="1"/>
      <c r="Q734" s="1"/>
      <c r="R734" s="1"/>
      <c r="S734" s="1"/>
      <c r="T734" s="1"/>
      <c r="U734" s="1"/>
      <c r="V734" s="1"/>
      <c r="W734" s="1"/>
      <c r="X734" s="1"/>
      <c r="Y734" s="1"/>
    </row>
    <row r="735" customFormat="false" ht="15.75" hidden="false" customHeight="true" outlineLevel="0" collapsed="false">
      <c r="M735" s="1"/>
      <c r="N735" s="1"/>
      <c r="O735" s="1"/>
      <c r="P735" s="1"/>
      <c r="Q735" s="1"/>
      <c r="R735" s="1"/>
      <c r="S735" s="1"/>
      <c r="T735" s="1"/>
      <c r="U735" s="1"/>
      <c r="V735" s="1"/>
      <c r="W735" s="1"/>
      <c r="X735" s="1"/>
      <c r="Y735" s="1"/>
    </row>
    <row r="736" customFormat="false" ht="15.75" hidden="false" customHeight="true" outlineLevel="0" collapsed="false">
      <c r="M736" s="1"/>
      <c r="N736" s="1"/>
      <c r="O736" s="1"/>
      <c r="P736" s="1"/>
      <c r="Q736" s="1"/>
      <c r="R736" s="1"/>
      <c r="S736" s="1"/>
      <c r="T736" s="1"/>
      <c r="U736" s="1"/>
      <c r="V736" s="1"/>
      <c r="W736" s="1"/>
      <c r="X736" s="1"/>
      <c r="Y736" s="1"/>
    </row>
    <row r="737" customFormat="false" ht="15.75" hidden="false" customHeight="true" outlineLevel="0" collapsed="false">
      <c r="M737" s="1"/>
      <c r="N737" s="1"/>
      <c r="O737" s="1"/>
      <c r="P737" s="1"/>
      <c r="Q737" s="1"/>
      <c r="R737" s="1"/>
      <c r="S737" s="1"/>
      <c r="T737" s="1"/>
      <c r="U737" s="1"/>
      <c r="V737" s="1"/>
      <c r="W737" s="1"/>
      <c r="X737" s="1"/>
      <c r="Y737" s="1"/>
    </row>
    <row r="738" customFormat="false" ht="15.75" hidden="false" customHeight="true" outlineLevel="0" collapsed="false">
      <c r="M738" s="1"/>
      <c r="N738" s="1"/>
      <c r="O738" s="1"/>
      <c r="P738" s="1"/>
      <c r="Q738" s="1"/>
      <c r="R738" s="1"/>
      <c r="S738" s="1"/>
      <c r="T738" s="1"/>
      <c r="U738" s="1"/>
      <c r="V738" s="1"/>
      <c r="W738" s="1"/>
      <c r="X738" s="1"/>
      <c r="Y738" s="1"/>
    </row>
    <row r="739" customFormat="false" ht="15.75" hidden="false" customHeight="true" outlineLevel="0" collapsed="false">
      <c r="M739" s="1"/>
      <c r="N739" s="1"/>
      <c r="O739" s="1"/>
      <c r="P739" s="1"/>
      <c r="Q739" s="1"/>
      <c r="R739" s="1"/>
      <c r="S739" s="1"/>
      <c r="T739" s="1"/>
      <c r="U739" s="1"/>
      <c r="V739" s="1"/>
      <c r="W739" s="1"/>
      <c r="X739" s="1"/>
      <c r="Y739" s="1"/>
    </row>
    <row r="740" customFormat="false" ht="15.75" hidden="false" customHeight="true" outlineLevel="0" collapsed="false">
      <c r="M740" s="1"/>
      <c r="N740" s="1"/>
      <c r="O740" s="1"/>
      <c r="P740" s="1"/>
      <c r="Q740" s="1"/>
      <c r="R740" s="1"/>
      <c r="S740" s="1"/>
      <c r="T740" s="1"/>
      <c r="U740" s="1"/>
      <c r="V740" s="1"/>
      <c r="W740" s="1"/>
      <c r="X740" s="1"/>
      <c r="Y740" s="1"/>
    </row>
    <row r="741" customFormat="false" ht="15.75" hidden="false" customHeight="true" outlineLevel="0" collapsed="false">
      <c r="M741" s="1"/>
      <c r="N741" s="1"/>
      <c r="O741" s="1"/>
      <c r="P741" s="1"/>
      <c r="Q741" s="1"/>
      <c r="R741" s="1"/>
      <c r="S741" s="1"/>
      <c r="T741" s="1"/>
      <c r="U741" s="1"/>
      <c r="V741" s="1"/>
      <c r="W741" s="1"/>
      <c r="X741" s="1"/>
      <c r="Y741" s="1"/>
    </row>
    <row r="742" customFormat="false" ht="15.75" hidden="false" customHeight="true" outlineLevel="0" collapsed="false">
      <c r="M742" s="1"/>
      <c r="N742" s="1"/>
      <c r="O742" s="1"/>
      <c r="P742" s="1"/>
      <c r="Q742" s="1"/>
      <c r="R742" s="1"/>
      <c r="S742" s="1"/>
      <c r="T742" s="1"/>
      <c r="U742" s="1"/>
      <c r="V742" s="1"/>
      <c r="W742" s="1"/>
      <c r="X742" s="1"/>
      <c r="Y742" s="1"/>
    </row>
    <row r="743" customFormat="false" ht="15.75" hidden="false" customHeight="true" outlineLevel="0" collapsed="false">
      <c r="M743" s="1"/>
      <c r="N743" s="1"/>
      <c r="O743" s="1"/>
      <c r="P743" s="1"/>
      <c r="Q743" s="1"/>
      <c r="R743" s="1"/>
      <c r="S743" s="1"/>
      <c r="T743" s="1"/>
      <c r="U743" s="1"/>
      <c r="V743" s="1"/>
      <c r="W743" s="1"/>
      <c r="X743" s="1"/>
      <c r="Y743" s="1"/>
    </row>
    <row r="744" customFormat="false" ht="15.75" hidden="false" customHeight="true" outlineLevel="0" collapsed="false">
      <c r="M744" s="1"/>
      <c r="N744" s="1"/>
      <c r="O744" s="1"/>
      <c r="P744" s="1"/>
      <c r="Q744" s="1"/>
      <c r="R744" s="1"/>
      <c r="S744" s="1"/>
      <c r="T744" s="1"/>
      <c r="U744" s="1"/>
      <c r="V744" s="1"/>
      <c r="W744" s="1"/>
      <c r="X744" s="1"/>
      <c r="Y744" s="1"/>
    </row>
    <row r="745" customFormat="false" ht="15.75" hidden="false" customHeight="true" outlineLevel="0" collapsed="false">
      <c r="M745" s="1"/>
      <c r="N745" s="1"/>
      <c r="O745" s="1"/>
      <c r="P745" s="1"/>
      <c r="Q745" s="1"/>
      <c r="R745" s="1"/>
      <c r="S745" s="1"/>
      <c r="T745" s="1"/>
      <c r="U745" s="1"/>
      <c r="V745" s="1"/>
      <c r="W745" s="1"/>
      <c r="X745" s="1"/>
      <c r="Y745" s="1"/>
    </row>
    <row r="746" customFormat="false" ht="15.75" hidden="false" customHeight="true" outlineLevel="0" collapsed="false">
      <c r="M746" s="1"/>
      <c r="N746" s="1"/>
      <c r="O746" s="1"/>
      <c r="P746" s="1"/>
      <c r="Q746" s="1"/>
      <c r="R746" s="1"/>
      <c r="S746" s="1"/>
      <c r="T746" s="1"/>
      <c r="U746" s="1"/>
      <c r="V746" s="1"/>
      <c r="W746" s="1"/>
      <c r="X746" s="1"/>
      <c r="Y746" s="1"/>
    </row>
    <row r="747" customFormat="false" ht="15.75" hidden="false" customHeight="true" outlineLevel="0" collapsed="false">
      <c r="M747" s="1"/>
      <c r="N747" s="1"/>
      <c r="O747" s="1"/>
      <c r="P747" s="1"/>
      <c r="Q747" s="1"/>
      <c r="R747" s="1"/>
      <c r="S747" s="1"/>
      <c r="T747" s="1"/>
      <c r="U747" s="1"/>
      <c r="V747" s="1"/>
      <c r="W747" s="1"/>
      <c r="X747" s="1"/>
      <c r="Y747" s="1"/>
    </row>
    <row r="748" customFormat="false" ht="15.75" hidden="false" customHeight="true" outlineLevel="0" collapsed="false">
      <c r="M748" s="1"/>
      <c r="N748" s="1"/>
      <c r="O748" s="1"/>
      <c r="P748" s="1"/>
      <c r="Q748" s="1"/>
      <c r="R748" s="1"/>
      <c r="S748" s="1"/>
      <c r="T748" s="1"/>
      <c r="U748" s="1"/>
      <c r="V748" s="1"/>
      <c r="W748" s="1"/>
      <c r="X748" s="1"/>
      <c r="Y748" s="1"/>
    </row>
    <row r="749" customFormat="false" ht="15.75" hidden="false" customHeight="true" outlineLevel="0" collapsed="false">
      <c r="M749" s="1"/>
      <c r="N749" s="1"/>
      <c r="O749" s="1"/>
      <c r="P749" s="1"/>
      <c r="Q749" s="1"/>
      <c r="R749" s="1"/>
      <c r="S749" s="1"/>
      <c r="T749" s="1"/>
      <c r="U749" s="1"/>
      <c r="V749" s="1"/>
      <c r="W749" s="1"/>
      <c r="X749" s="1"/>
      <c r="Y749" s="1"/>
    </row>
    <row r="750" customFormat="false" ht="15.75" hidden="false" customHeight="true" outlineLevel="0" collapsed="false">
      <c r="M750" s="1"/>
      <c r="N750" s="1"/>
      <c r="O750" s="1"/>
      <c r="P750" s="1"/>
      <c r="Q750" s="1"/>
      <c r="R750" s="1"/>
      <c r="S750" s="1"/>
      <c r="T750" s="1"/>
      <c r="U750" s="1"/>
      <c r="V750" s="1"/>
      <c r="W750" s="1"/>
      <c r="X750" s="1"/>
      <c r="Y750" s="1"/>
    </row>
    <row r="751" customFormat="false" ht="15.75" hidden="false" customHeight="true" outlineLevel="0" collapsed="false">
      <c r="M751" s="1"/>
      <c r="N751" s="1"/>
      <c r="O751" s="1"/>
      <c r="P751" s="1"/>
      <c r="Q751" s="1"/>
      <c r="R751" s="1"/>
      <c r="S751" s="1"/>
      <c r="T751" s="1"/>
      <c r="U751" s="1"/>
      <c r="V751" s="1"/>
      <c r="W751" s="1"/>
      <c r="X751" s="1"/>
      <c r="Y751" s="1"/>
    </row>
    <row r="752" customFormat="false" ht="15.75" hidden="false" customHeight="true" outlineLevel="0" collapsed="false">
      <c r="M752" s="1"/>
      <c r="N752" s="1"/>
      <c r="O752" s="1"/>
      <c r="P752" s="1"/>
      <c r="Q752" s="1"/>
      <c r="R752" s="1"/>
      <c r="S752" s="1"/>
      <c r="T752" s="1"/>
      <c r="U752" s="1"/>
      <c r="V752" s="1"/>
      <c r="W752" s="1"/>
      <c r="X752" s="1"/>
      <c r="Y752" s="1"/>
    </row>
    <row r="753" customFormat="false" ht="15.75" hidden="false" customHeight="true" outlineLevel="0" collapsed="false">
      <c r="M753" s="1"/>
      <c r="N753" s="1"/>
      <c r="O753" s="1"/>
      <c r="P753" s="1"/>
      <c r="Q753" s="1"/>
      <c r="R753" s="1"/>
      <c r="S753" s="1"/>
      <c r="T753" s="1"/>
      <c r="U753" s="1"/>
      <c r="V753" s="1"/>
      <c r="W753" s="1"/>
      <c r="X753" s="1"/>
      <c r="Y753" s="1"/>
    </row>
    <row r="754" customFormat="false" ht="15.75" hidden="false" customHeight="true" outlineLevel="0" collapsed="false">
      <c r="M754" s="1"/>
      <c r="N754" s="1"/>
      <c r="O754" s="1"/>
      <c r="P754" s="1"/>
      <c r="Q754" s="1"/>
      <c r="R754" s="1"/>
      <c r="S754" s="1"/>
      <c r="T754" s="1"/>
      <c r="U754" s="1"/>
      <c r="V754" s="1"/>
      <c r="W754" s="1"/>
      <c r="X754" s="1"/>
      <c r="Y754" s="1"/>
    </row>
    <row r="755" customFormat="false" ht="15.75" hidden="false" customHeight="true" outlineLevel="0" collapsed="false">
      <c r="M755" s="1"/>
      <c r="N755" s="1"/>
      <c r="O755" s="1"/>
      <c r="P755" s="1"/>
      <c r="Q755" s="1"/>
      <c r="R755" s="1"/>
      <c r="S755" s="1"/>
      <c r="T755" s="1"/>
      <c r="U755" s="1"/>
      <c r="V755" s="1"/>
      <c r="W755" s="1"/>
      <c r="X755" s="1"/>
      <c r="Y755" s="1"/>
    </row>
    <row r="756" customFormat="false" ht="15.75" hidden="false" customHeight="true" outlineLevel="0" collapsed="false">
      <c r="M756" s="1"/>
      <c r="N756" s="1"/>
      <c r="O756" s="1"/>
      <c r="P756" s="1"/>
      <c r="Q756" s="1"/>
      <c r="R756" s="1"/>
      <c r="S756" s="1"/>
      <c r="T756" s="1"/>
      <c r="U756" s="1"/>
      <c r="V756" s="1"/>
      <c r="W756" s="1"/>
      <c r="X756" s="1"/>
      <c r="Y756" s="1"/>
    </row>
    <row r="757" customFormat="false" ht="15.75" hidden="false" customHeight="true" outlineLevel="0" collapsed="false">
      <c r="M757" s="1"/>
      <c r="N757" s="1"/>
      <c r="O757" s="1"/>
      <c r="P757" s="1"/>
      <c r="Q757" s="1"/>
      <c r="R757" s="1"/>
      <c r="S757" s="1"/>
      <c r="T757" s="1"/>
      <c r="U757" s="1"/>
      <c r="V757" s="1"/>
      <c r="W757" s="1"/>
      <c r="X757" s="1"/>
      <c r="Y757" s="1"/>
    </row>
    <row r="758" customFormat="false" ht="15.75" hidden="false" customHeight="true" outlineLevel="0" collapsed="false">
      <c r="M758" s="1"/>
      <c r="N758" s="1"/>
      <c r="O758" s="1"/>
      <c r="P758" s="1"/>
      <c r="Q758" s="1"/>
      <c r="R758" s="1"/>
      <c r="S758" s="1"/>
      <c r="T758" s="1"/>
      <c r="U758" s="1"/>
      <c r="V758" s="1"/>
      <c r="W758" s="1"/>
      <c r="X758" s="1"/>
      <c r="Y758" s="1"/>
    </row>
    <row r="759" customFormat="false" ht="15.75" hidden="false" customHeight="true" outlineLevel="0" collapsed="false">
      <c r="M759" s="1"/>
      <c r="N759" s="1"/>
      <c r="O759" s="1"/>
      <c r="P759" s="1"/>
      <c r="Q759" s="1"/>
      <c r="R759" s="1"/>
      <c r="S759" s="1"/>
      <c r="T759" s="1"/>
      <c r="U759" s="1"/>
      <c r="V759" s="1"/>
      <c r="W759" s="1"/>
      <c r="X759" s="1"/>
      <c r="Y759" s="1"/>
    </row>
    <row r="760" customFormat="false" ht="15.75" hidden="false" customHeight="true" outlineLevel="0" collapsed="false">
      <c r="M760" s="1"/>
      <c r="N760" s="1"/>
      <c r="O760" s="1"/>
      <c r="P760" s="1"/>
      <c r="Q760" s="1"/>
      <c r="R760" s="1"/>
      <c r="S760" s="1"/>
      <c r="T760" s="1"/>
      <c r="U760" s="1"/>
      <c r="V760" s="1"/>
      <c r="W760" s="1"/>
      <c r="X760" s="1"/>
      <c r="Y760" s="1"/>
    </row>
    <row r="761" customFormat="false" ht="15.75" hidden="false" customHeight="true" outlineLevel="0" collapsed="false">
      <c r="M761" s="1"/>
      <c r="N761" s="1"/>
      <c r="O761" s="1"/>
      <c r="P761" s="1"/>
      <c r="Q761" s="1"/>
      <c r="R761" s="1"/>
      <c r="S761" s="1"/>
      <c r="T761" s="1"/>
      <c r="U761" s="1"/>
      <c r="V761" s="1"/>
      <c r="W761" s="1"/>
      <c r="X761" s="1"/>
      <c r="Y761" s="1"/>
    </row>
    <row r="762" customFormat="false" ht="15.75" hidden="false" customHeight="true" outlineLevel="0" collapsed="false">
      <c r="M762" s="1"/>
      <c r="N762" s="1"/>
      <c r="O762" s="1"/>
      <c r="P762" s="1"/>
      <c r="Q762" s="1"/>
      <c r="R762" s="1"/>
      <c r="S762" s="1"/>
      <c r="T762" s="1"/>
      <c r="U762" s="1"/>
      <c r="V762" s="1"/>
      <c r="W762" s="1"/>
      <c r="X762" s="1"/>
      <c r="Y762" s="1"/>
    </row>
    <row r="763" customFormat="false" ht="15.75" hidden="false" customHeight="true" outlineLevel="0" collapsed="false">
      <c r="M763" s="1"/>
      <c r="N763" s="1"/>
      <c r="O763" s="1"/>
      <c r="P763" s="1"/>
      <c r="Q763" s="1"/>
      <c r="R763" s="1"/>
      <c r="S763" s="1"/>
      <c r="T763" s="1"/>
      <c r="U763" s="1"/>
      <c r="V763" s="1"/>
      <c r="W763" s="1"/>
      <c r="X763" s="1"/>
      <c r="Y763" s="1"/>
    </row>
    <row r="764" customFormat="false" ht="15.75" hidden="false" customHeight="true" outlineLevel="0" collapsed="false">
      <c r="M764" s="1"/>
      <c r="N764" s="1"/>
      <c r="O764" s="1"/>
      <c r="P764" s="1"/>
      <c r="Q764" s="1"/>
      <c r="R764" s="1"/>
      <c r="S764" s="1"/>
      <c r="T764" s="1"/>
      <c r="U764" s="1"/>
      <c r="V764" s="1"/>
      <c r="W764" s="1"/>
      <c r="X764" s="1"/>
      <c r="Y764" s="1"/>
    </row>
    <row r="765" customFormat="false" ht="15.75" hidden="false" customHeight="true" outlineLevel="0" collapsed="false">
      <c r="M765" s="1"/>
      <c r="N765" s="1"/>
      <c r="O765" s="1"/>
      <c r="P765" s="1"/>
      <c r="Q765" s="1"/>
      <c r="R765" s="1"/>
      <c r="S765" s="1"/>
      <c r="T765" s="1"/>
      <c r="U765" s="1"/>
      <c r="V765" s="1"/>
      <c r="W765" s="1"/>
      <c r="X765" s="1"/>
      <c r="Y765" s="1"/>
    </row>
    <row r="766" customFormat="false" ht="15.75" hidden="false" customHeight="true" outlineLevel="0" collapsed="false">
      <c r="M766" s="1"/>
      <c r="N766" s="1"/>
      <c r="O766" s="1"/>
      <c r="P766" s="1"/>
      <c r="Q766" s="1"/>
      <c r="R766" s="1"/>
      <c r="S766" s="1"/>
      <c r="T766" s="1"/>
      <c r="U766" s="1"/>
      <c r="V766" s="1"/>
      <c r="W766" s="1"/>
      <c r="X766" s="1"/>
      <c r="Y766" s="1"/>
    </row>
    <row r="767" customFormat="false" ht="15.75" hidden="false" customHeight="true" outlineLevel="0" collapsed="false">
      <c r="M767" s="1"/>
      <c r="N767" s="1"/>
      <c r="O767" s="1"/>
      <c r="P767" s="1"/>
      <c r="Q767" s="1"/>
      <c r="R767" s="1"/>
      <c r="S767" s="1"/>
      <c r="T767" s="1"/>
      <c r="U767" s="1"/>
      <c r="V767" s="1"/>
      <c r="W767" s="1"/>
      <c r="X767" s="1"/>
      <c r="Y767" s="1"/>
    </row>
    <row r="768" customFormat="false" ht="15.75" hidden="false" customHeight="true" outlineLevel="0" collapsed="false">
      <c r="M768" s="1"/>
      <c r="N768" s="1"/>
      <c r="O768" s="1"/>
      <c r="P768" s="1"/>
      <c r="Q768" s="1"/>
      <c r="R768" s="1"/>
      <c r="S768" s="1"/>
      <c r="T768" s="1"/>
      <c r="U768" s="1"/>
      <c r="V768" s="1"/>
      <c r="W768" s="1"/>
      <c r="X768" s="1"/>
      <c r="Y768" s="1"/>
    </row>
    <row r="769" customFormat="false" ht="15.75" hidden="false" customHeight="true" outlineLevel="0" collapsed="false">
      <c r="M769" s="1"/>
      <c r="N769" s="1"/>
      <c r="O769" s="1"/>
      <c r="P769" s="1"/>
      <c r="Q769" s="1"/>
      <c r="R769" s="1"/>
      <c r="S769" s="1"/>
      <c r="T769" s="1"/>
      <c r="U769" s="1"/>
      <c r="V769" s="1"/>
      <c r="W769" s="1"/>
      <c r="X769" s="1"/>
      <c r="Y769" s="1"/>
    </row>
    <row r="770" customFormat="false" ht="15.75" hidden="false" customHeight="true" outlineLevel="0" collapsed="false">
      <c r="M770" s="1"/>
      <c r="N770" s="1"/>
      <c r="O770" s="1"/>
      <c r="P770" s="1"/>
      <c r="Q770" s="1"/>
      <c r="R770" s="1"/>
      <c r="S770" s="1"/>
      <c r="T770" s="1"/>
      <c r="U770" s="1"/>
      <c r="V770" s="1"/>
      <c r="W770" s="1"/>
      <c r="X770" s="1"/>
      <c r="Y770" s="1"/>
    </row>
    <row r="771" customFormat="false" ht="15.75" hidden="false" customHeight="true" outlineLevel="0" collapsed="false">
      <c r="M771" s="1"/>
      <c r="N771" s="1"/>
      <c r="O771" s="1"/>
      <c r="P771" s="1"/>
      <c r="Q771" s="1"/>
      <c r="R771" s="1"/>
      <c r="S771" s="1"/>
      <c r="T771" s="1"/>
      <c r="U771" s="1"/>
      <c r="V771" s="1"/>
      <c r="W771" s="1"/>
      <c r="X771" s="1"/>
      <c r="Y771" s="1"/>
    </row>
    <row r="772" customFormat="false" ht="15.75" hidden="false" customHeight="true" outlineLevel="0" collapsed="false">
      <c r="M772" s="1"/>
      <c r="N772" s="1"/>
      <c r="O772" s="1"/>
      <c r="P772" s="1"/>
      <c r="Q772" s="1"/>
      <c r="R772" s="1"/>
      <c r="S772" s="1"/>
      <c r="T772" s="1"/>
      <c r="U772" s="1"/>
      <c r="V772" s="1"/>
      <c r="W772" s="1"/>
      <c r="X772" s="1"/>
      <c r="Y772" s="1"/>
    </row>
    <row r="773" customFormat="false" ht="15.75" hidden="false" customHeight="true" outlineLevel="0" collapsed="false">
      <c r="M773" s="1"/>
      <c r="N773" s="1"/>
      <c r="O773" s="1"/>
      <c r="P773" s="1"/>
      <c r="Q773" s="1"/>
      <c r="R773" s="1"/>
      <c r="S773" s="1"/>
      <c r="T773" s="1"/>
      <c r="U773" s="1"/>
      <c r="V773" s="1"/>
      <c r="W773" s="1"/>
      <c r="X773" s="1"/>
      <c r="Y773" s="1"/>
    </row>
    <row r="774" customFormat="false" ht="15.75" hidden="false" customHeight="true" outlineLevel="0" collapsed="false">
      <c r="M774" s="1"/>
      <c r="N774" s="1"/>
      <c r="O774" s="1"/>
      <c r="P774" s="1"/>
      <c r="Q774" s="1"/>
      <c r="R774" s="1"/>
      <c r="S774" s="1"/>
      <c r="T774" s="1"/>
      <c r="U774" s="1"/>
      <c r="V774" s="1"/>
      <c r="W774" s="1"/>
      <c r="X774" s="1"/>
      <c r="Y774" s="1"/>
    </row>
    <row r="775" customFormat="false" ht="15.75" hidden="false" customHeight="true" outlineLevel="0" collapsed="false">
      <c r="M775" s="1"/>
      <c r="N775" s="1"/>
      <c r="O775" s="1"/>
      <c r="P775" s="1"/>
      <c r="Q775" s="1"/>
      <c r="R775" s="1"/>
      <c r="S775" s="1"/>
      <c r="T775" s="1"/>
      <c r="U775" s="1"/>
      <c r="V775" s="1"/>
      <c r="W775" s="1"/>
      <c r="X775" s="1"/>
      <c r="Y775" s="1"/>
    </row>
    <row r="776" customFormat="false" ht="15.75" hidden="false" customHeight="true" outlineLevel="0" collapsed="false">
      <c r="M776" s="1"/>
      <c r="N776" s="1"/>
      <c r="O776" s="1"/>
      <c r="P776" s="1"/>
      <c r="Q776" s="1"/>
      <c r="R776" s="1"/>
      <c r="S776" s="1"/>
      <c r="T776" s="1"/>
      <c r="U776" s="1"/>
      <c r="V776" s="1"/>
      <c r="W776" s="1"/>
      <c r="X776" s="1"/>
      <c r="Y776" s="1"/>
    </row>
    <row r="777" customFormat="false" ht="15.75" hidden="false" customHeight="true" outlineLevel="0" collapsed="false">
      <c r="M777" s="1"/>
      <c r="N777" s="1"/>
      <c r="O777" s="1"/>
      <c r="P777" s="1"/>
      <c r="Q777" s="1"/>
      <c r="R777" s="1"/>
      <c r="S777" s="1"/>
      <c r="T777" s="1"/>
      <c r="U777" s="1"/>
      <c r="V777" s="1"/>
      <c r="W777" s="1"/>
      <c r="X777" s="1"/>
      <c r="Y777" s="1"/>
    </row>
    <row r="778" customFormat="false" ht="15.75" hidden="false" customHeight="true" outlineLevel="0" collapsed="false">
      <c r="M778" s="1"/>
      <c r="N778" s="1"/>
      <c r="O778" s="1"/>
      <c r="P778" s="1"/>
      <c r="Q778" s="1"/>
      <c r="R778" s="1"/>
      <c r="S778" s="1"/>
      <c r="T778" s="1"/>
      <c r="U778" s="1"/>
      <c r="V778" s="1"/>
      <c r="W778" s="1"/>
      <c r="X778" s="1"/>
      <c r="Y778" s="1"/>
    </row>
    <row r="779" customFormat="false" ht="15.75" hidden="false" customHeight="true" outlineLevel="0" collapsed="false">
      <c r="M779" s="1"/>
      <c r="N779" s="1"/>
      <c r="O779" s="1"/>
      <c r="P779" s="1"/>
      <c r="Q779" s="1"/>
      <c r="R779" s="1"/>
      <c r="S779" s="1"/>
      <c r="T779" s="1"/>
      <c r="U779" s="1"/>
      <c r="V779" s="1"/>
      <c r="W779" s="1"/>
      <c r="X779" s="1"/>
      <c r="Y779" s="1"/>
    </row>
    <row r="780" customFormat="false" ht="15.75" hidden="false" customHeight="true" outlineLevel="0" collapsed="false">
      <c r="M780" s="1"/>
      <c r="N780" s="1"/>
      <c r="O780" s="1"/>
      <c r="P780" s="1"/>
      <c r="Q780" s="1"/>
      <c r="R780" s="1"/>
      <c r="S780" s="1"/>
      <c r="T780" s="1"/>
      <c r="U780" s="1"/>
      <c r="V780" s="1"/>
      <c r="W780" s="1"/>
      <c r="X780" s="1"/>
      <c r="Y780" s="1"/>
    </row>
    <row r="781" customFormat="false" ht="15.75" hidden="false" customHeight="true" outlineLevel="0" collapsed="false">
      <c r="M781" s="1"/>
      <c r="N781" s="1"/>
      <c r="O781" s="1"/>
      <c r="P781" s="1"/>
      <c r="Q781" s="1"/>
      <c r="R781" s="1"/>
      <c r="S781" s="1"/>
      <c r="T781" s="1"/>
      <c r="U781" s="1"/>
      <c r="V781" s="1"/>
      <c r="W781" s="1"/>
      <c r="X781" s="1"/>
      <c r="Y781" s="1"/>
    </row>
    <row r="782" customFormat="false" ht="15.75" hidden="false" customHeight="true" outlineLevel="0" collapsed="false">
      <c r="M782" s="1"/>
      <c r="N782" s="1"/>
      <c r="O782" s="1"/>
      <c r="P782" s="1"/>
      <c r="Q782" s="1"/>
      <c r="R782" s="1"/>
      <c r="S782" s="1"/>
      <c r="T782" s="1"/>
      <c r="U782" s="1"/>
      <c r="V782" s="1"/>
      <c r="W782" s="1"/>
      <c r="X782" s="1"/>
      <c r="Y782" s="1"/>
    </row>
    <row r="783" customFormat="false" ht="15.75" hidden="false" customHeight="true" outlineLevel="0" collapsed="false">
      <c r="M783" s="1"/>
      <c r="N783" s="1"/>
      <c r="O783" s="1"/>
      <c r="P783" s="1"/>
      <c r="Q783" s="1"/>
      <c r="R783" s="1"/>
      <c r="S783" s="1"/>
      <c r="T783" s="1"/>
      <c r="U783" s="1"/>
      <c r="V783" s="1"/>
      <c r="W783" s="1"/>
      <c r="X783" s="1"/>
      <c r="Y783" s="1"/>
    </row>
    <row r="784" customFormat="false" ht="15.75" hidden="false" customHeight="true" outlineLevel="0" collapsed="false">
      <c r="M784" s="1"/>
      <c r="N784" s="1"/>
      <c r="O784" s="1"/>
      <c r="P784" s="1"/>
      <c r="Q784" s="1"/>
      <c r="R784" s="1"/>
      <c r="S784" s="1"/>
      <c r="T784" s="1"/>
      <c r="U784" s="1"/>
      <c r="V784" s="1"/>
      <c r="W784" s="1"/>
      <c r="X784" s="1"/>
      <c r="Y784" s="1"/>
    </row>
    <row r="785" customFormat="false" ht="15.75" hidden="false" customHeight="true" outlineLevel="0" collapsed="false">
      <c r="M785" s="1"/>
      <c r="N785" s="1"/>
      <c r="O785" s="1"/>
      <c r="P785" s="1"/>
      <c r="Q785" s="1"/>
      <c r="R785" s="1"/>
      <c r="S785" s="1"/>
      <c r="T785" s="1"/>
      <c r="U785" s="1"/>
      <c r="V785" s="1"/>
      <c r="W785" s="1"/>
      <c r="X785" s="1"/>
      <c r="Y785" s="1"/>
    </row>
    <row r="786" customFormat="false" ht="15.75" hidden="false" customHeight="true" outlineLevel="0" collapsed="false">
      <c r="M786" s="1"/>
      <c r="N786" s="1"/>
      <c r="O786" s="1"/>
      <c r="P786" s="1"/>
      <c r="Q786" s="1"/>
      <c r="R786" s="1"/>
      <c r="S786" s="1"/>
      <c r="T786" s="1"/>
      <c r="U786" s="1"/>
      <c r="V786" s="1"/>
      <c r="W786" s="1"/>
      <c r="X786" s="1"/>
      <c r="Y786" s="1"/>
    </row>
    <row r="787" customFormat="false" ht="15.75" hidden="false" customHeight="true" outlineLevel="0" collapsed="false">
      <c r="M787" s="1"/>
      <c r="N787" s="1"/>
      <c r="O787" s="1"/>
      <c r="P787" s="1"/>
      <c r="Q787" s="1"/>
      <c r="R787" s="1"/>
      <c r="S787" s="1"/>
      <c r="T787" s="1"/>
      <c r="U787" s="1"/>
      <c r="V787" s="1"/>
      <c r="W787" s="1"/>
      <c r="X787" s="1"/>
      <c r="Y787" s="1"/>
    </row>
    <row r="788" customFormat="false" ht="15.75" hidden="false" customHeight="true" outlineLevel="0" collapsed="false">
      <c r="M788" s="1"/>
      <c r="N788" s="1"/>
      <c r="O788" s="1"/>
      <c r="P788" s="1"/>
      <c r="Q788" s="1"/>
      <c r="R788" s="1"/>
      <c r="S788" s="1"/>
      <c r="T788" s="1"/>
      <c r="U788" s="1"/>
      <c r="V788" s="1"/>
      <c r="W788" s="1"/>
      <c r="X788" s="1"/>
      <c r="Y788" s="1"/>
    </row>
    <row r="789" customFormat="false" ht="15.75" hidden="false" customHeight="true" outlineLevel="0" collapsed="false">
      <c r="M789" s="1"/>
      <c r="N789" s="1"/>
      <c r="O789" s="1"/>
      <c r="P789" s="1"/>
      <c r="Q789" s="1"/>
      <c r="R789" s="1"/>
      <c r="S789" s="1"/>
      <c r="T789" s="1"/>
      <c r="U789" s="1"/>
      <c r="V789" s="1"/>
      <c r="W789" s="1"/>
      <c r="X789" s="1"/>
      <c r="Y789" s="1"/>
    </row>
    <row r="790" customFormat="false" ht="15.75" hidden="false" customHeight="true" outlineLevel="0" collapsed="false">
      <c r="M790" s="1"/>
      <c r="N790" s="1"/>
      <c r="O790" s="1"/>
      <c r="P790" s="1"/>
      <c r="Q790" s="1"/>
      <c r="R790" s="1"/>
      <c r="S790" s="1"/>
      <c r="T790" s="1"/>
      <c r="U790" s="1"/>
      <c r="V790" s="1"/>
      <c r="W790" s="1"/>
      <c r="X790" s="1"/>
      <c r="Y790" s="1"/>
    </row>
    <row r="791" customFormat="false" ht="15.75" hidden="false" customHeight="true" outlineLevel="0" collapsed="false">
      <c r="M791" s="1"/>
      <c r="N791" s="1"/>
      <c r="O791" s="1"/>
      <c r="P791" s="1"/>
      <c r="Q791" s="1"/>
      <c r="R791" s="1"/>
      <c r="S791" s="1"/>
      <c r="T791" s="1"/>
      <c r="U791" s="1"/>
      <c r="V791" s="1"/>
      <c r="W791" s="1"/>
      <c r="X791" s="1"/>
      <c r="Y791" s="1"/>
    </row>
    <row r="792" customFormat="false" ht="15.75" hidden="false" customHeight="true" outlineLevel="0" collapsed="false">
      <c r="M792" s="1"/>
      <c r="N792" s="1"/>
      <c r="O792" s="1"/>
      <c r="P792" s="1"/>
      <c r="Q792" s="1"/>
      <c r="R792" s="1"/>
      <c r="S792" s="1"/>
      <c r="T792" s="1"/>
      <c r="U792" s="1"/>
      <c r="V792" s="1"/>
      <c r="W792" s="1"/>
      <c r="X792" s="1"/>
      <c r="Y792" s="1"/>
    </row>
    <row r="793" customFormat="false" ht="15.75" hidden="false" customHeight="true" outlineLevel="0" collapsed="false">
      <c r="M793" s="1"/>
      <c r="N793" s="1"/>
      <c r="O793" s="1"/>
      <c r="P793" s="1"/>
      <c r="Q793" s="1"/>
      <c r="R793" s="1"/>
      <c r="S793" s="1"/>
      <c r="T793" s="1"/>
      <c r="U793" s="1"/>
      <c r="V793" s="1"/>
      <c r="W793" s="1"/>
      <c r="X793" s="1"/>
      <c r="Y793" s="1"/>
    </row>
    <row r="794" customFormat="false" ht="15.75" hidden="false" customHeight="true" outlineLevel="0" collapsed="false">
      <c r="M794" s="1"/>
      <c r="N794" s="1"/>
      <c r="O794" s="1"/>
      <c r="P794" s="1"/>
      <c r="Q794" s="1"/>
      <c r="R794" s="1"/>
      <c r="S794" s="1"/>
      <c r="T794" s="1"/>
      <c r="U794" s="1"/>
      <c r="V794" s="1"/>
      <c r="W794" s="1"/>
      <c r="X794" s="1"/>
      <c r="Y794" s="1"/>
    </row>
    <row r="795" customFormat="false" ht="15.75" hidden="false" customHeight="true" outlineLevel="0" collapsed="false">
      <c r="M795" s="1"/>
      <c r="N795" s="1"/>
      <c r="O795" s="1"/>
      <c r="P795" s="1"/>
      <c r="Q795" s="1"/>
      <c r="R795" s="1"/>
      <c r="S795" s="1"/>
      <c r="T795" s="1"/>
      <c r="U795" s="1"/>
      <c r="V795" s="1"/>
      <c r="W795" s="1"/>
      <c r="X795" s="1"/>
      <c r="Y795" s="1"/>
    </row>
    <row r="796" customFormat="false" ht="15.75" hidden="false" customHeight="true" outlineLevel="0" collapsed="false">
      <c r="M796" s="1"/>
      <c r="N796" s="1"/>
      <c r="O796" s="1"/>
      <c r="P796" s="1"/>
      <c r="Q796" s="1"/>
      <c r="R796" s="1"/>
      <c r="S796" s="1"/>
      <c r="T796" s="1"/>
      <c r="U796" s="1"/>
      <c r="V796" s="1"/>
      <c r="W796" s="1"/>
      <c r="X796" s="1"/>
      <c r="Y796" s="1"/>
    </row>
    <row r="797" customFormat="false" ht="15.75" hidden="false" customHeight="true" outlineLevel="0" collapsed="false">
      <c r="M797" s="1"/>
      <c r="N797" s="1"/>
      <c r="O797" s="1"/>
      <c r="P797" s="1"/>
      <c r="Q797" s="1"/>
      <c r="R797" s="1"/>
      <c r="S797" s="1"/>
      <c r="T797" s="1"/>
      <c r="U797" s="1"/>
      <c r="V797" s="1"/>
      <c r="W797" s="1"/>
      <c r="X797" s="1"/>
      <c r="Y797" s="1"/>
    </row>
    <row r="798" customFormat="false" ht="15.75" hidden="false" customHeight="true" outlineLevel="0" collapsed="false">
      <c r="M798" s="1"/>
      <c r="N798" s="1"/>
      <c r="O798" s="1"/>
      <c r="P798" s="1"/>
      <c r="Q798" s="1"/>
      <c r="R798" s="1"/>
      <c r="S798" s="1"/>
      <c r="T798" s="1"/>
      <c r="U798" s="1"/>
      <c r="V798" s="1"/>
      <c r="W798" s="1"/>
      <c r="X798" s="1"/>
      <c r="Y798" s="1"/>
    </row>
    <row r="799" customFormat="false" ht="15.75" hidden="false" customHeight="true" outlineLevel="0" collapsed="false">
      <c r="M799" s="1"/>
      <c r="N799" s="1"/>
      <c r="O799" s="1"/>
      <c r="P799" s="1"/>
      <c r="Q799" s="1"/>
      <c r="R799" s="1"/>
      <c r="S799" s="1"/>
      <c r="T799" s="1"/>
      <c r="U799" s="1"/>
      <c r="V799" s="1"/>
      <c r="W799" s="1"/>
      <c r="X799" s="1"/>
      <c r="Y799" s="1"/>
    </row>
    <row r="800" customFormat="false" ht="15.75" hidden="false" customHeight="true" outlineLevel="0" collapsed="false">
      <c r="M800" s="1"/>
      <c r="N800" s="1"/>
      <c r="O800" s="1"/>
      <c r="P800" s="1"/>
      <c r="Q800" s="1"/>
      <c r="R800" s="1"/>
      <c r="S800" s="1"/>
      <c r="T800" s="1"/>
      <c r="U800" s="1"/>
      <c r="V800" s="1"/>
      <c r="W800" s="1"/>
      <c r="X800" s="1"/>
      <c r="Y800" s="1"/>
    </row>
    <row r="801" customFormat="false" ht="15.75" hidden="false" customHeight="true" outlineLevel="0" collapsed="false">
      <c r="M801" s="1"/>
      <c r="N801" s="1"/>
      <c r="O801" s="1"/>
      <c r="P801" s="1"/>
      <c r="Q801" s="1"/>
      <c r="R801" s="1"/>
      <c r="S801" s="1"/>
      <c r="T801" s="1"/>
      <c r="U801" s="1"/>
      <c r="V801" s="1"/>
      <c r="W801" s="1"/>
      <c r="X801" s="1"/>
      <c r="Y801" s="1"/>
    </row>
    <row r="802" customFormat="false" ht="15.75" hidden="false" customHeight="true" outlineLevel="0" collapsed="false">
      <c r="M802" s="1"/>
      <c r="N802" s="1"/>
      <c r="O802" s="1"/>
      <c r="P802" s="1"/>
      <c r="Q802" s="1"/>
      <c r="R802" s="1"/>
      <c r="S802" s="1"/>
      <c r="T802" s="1"/>
      <c r="U802" s="1"/>
      <c r="V802" s="1"/>
      <c r="W802" s="1"/>
      <c r="X802" s="1"/>
      <c r="Y802" s="1"/>
    </row>
    <row r="803" customFormat="false" ht="15.75" hidden="false" customHeight="true" outlineLevel="0" collapsed="false">
      <c r="M803" s="1"/>
      <c r="N803" s="1"/>
      <c r="O803" s="1"/>
      <c r="P803" s="1"/>
      <c r="Q803" s="1"/>
      <c r="R803" s="1"/>
      <c r="S803" s="1"/>
      <c r="T803" s="1"/>
      <c r="U803" s="1"/>
      <c r="V803" s="1"/>
      <c r="W803" s="1"/>
      <c r="X803" s="1"/>
      <c r="Y803" s="1"/>
    </row>
    <row r="804" customFormat="false" ht="15.75" hidden="false" customHeight="true" outlineLevel="0" collapsed="false">
      <c r="M804" s="1"/>
      <c r="N804" s="1"/>
      <c r="O804" s="1"/>
      <c r="P804" s="1"/>
      <c r="Q804" s="1"/>
      <c r="R804" s="1"/>
      <c r="S804" s="1"/>
      <c r="T804" s="1"/>
      <c r="U804" s="1"/>
      <c r="V804" s="1"/>
      <c r="W804" s="1"/>
      <c r="X804" s="1"/>
      <c r="Y804" s="1"/>
    </row>
    <row r="805" customFormat="false" ht="15.75" hidden="false" customHeight="true" outlineLevel="0" collapsed="false">
      <c r="M805" s="1"/>
      <c r="N805" s="1"/>
      <c r="O805" s="1"/>
      <c r="P805" s="1"/>
      <c r="Q805" s="1"/>
      <c r="R805" s="1"/>
      <c r="S805" s="1"/>
      <c r="T805" s="1"/>
      <c r="U805" s="1"/>
      <c r="V805" s="1"/>
      <c r="W805" s="1"/>
      <c r="X805" s="1"/>
      <c r="Y805" s="1"/>
    </row>
    <row r="806" customFormat="false" ht="15.75" hidden="false" customHeight="true" outlineLevel="0" collapsed="false">
      <c r="M806" s="1"/>
      <c r="N806" s="1"/>
      <c r="O806" s="1"/>
      <c r="P806" s="1"/>
      <c r="Q806" s="1"/>
      <c r="R806" s="1"/>
      <c r="S806" s="1"/>
      <c r="T806" s="1"/>
      <c r="U806" s="1"/>
      <c r="V806" s="1"/>
      <c r="W806" s="1"/>
      <c r="X806" s="1"/>
      <c r="Y806" s="1"/>
    </row>
    <row r="807" customFormat="false" ht="15.75" hidden="false" customHeight="true" outlineLevel="0" collapsed="false">
      <c r="M807" s="1"/>
      <c r="N807" s="1"/>
      <c r="O807" s="1"/>
      <c r="P807" s="1"/>
      <c r="Q807" s="1"/>
      <c r="R807" s="1"/>
      <c r="S807" s="1"/>
      <c r="T807" s="1"/>
      <c r="U807" s="1"/>
      <c r="V807" s="1"/>
      <c r="W807" s="1"/>
      <c r="X807" s="1"/>
      <c r="Y807" s="1"/>
    </row>
    <row r="808" customFormat="false" ht="15.75" hidden="false" customHeight="true" outlineLevel="0" collapsed="false">
      <c r="M808" s="1"/>
      <c r="N808" s="1"/>
      <c r="O808" s="1"/>
      <c r="P808" s="1"/>
      <c r="Q808" s="1"/>
      <c r="R808" s="1"/>
      <c r="S808" s="1"/>
      <c r="T808" s="1"/>
      <c r="U808" s="1"/>
      <c r="V808" s="1"/>
      <c r="W808" s="1"/>
      <c r="X808" s="1"/>
      <c r="Y808" s="1"/>
    </row>
    <row r="809" customFormat="false" ht="15.75" hidden="false" customHeight="true" outlineLevel="0" collapsed="false">
      <c r="M809" s="1"/>
      <c r="N809" s="1"/>
      <c r="O809" s="1"/>
      <c r="P809" s="1"/>
      <c r="Q809" s="1"/>
      <c r="R809" s="1"/>
      <c r="S809" s="1"/>
      <c r="T809" s="1"/>
      <c r="U809" s="1"/>
      <c r="V809" s="1"/>
      <c r="W809" s="1"/>
      <c r="X809" s="1"/>
      <c r="Y809" s="1"/>
    </row>
    <row r="810" customFormat="false" ht="15.75" hidden="false" customHeight="true" outlineLevel="0" collapsed="false">
      <c r="M810" s="1"/>
      <c r="N810" s="1"/>
      <c r="O810" s="1"/>
      <c r="P810" s="1"/>
      <c r="Q810" s="1"/>
      <c r="R810" s="1"/>
      <c r="S810" s="1"/>
      <c r="T810" s="1"/>
      <c r="U810" s="1"/>
      <c r="V810" s="1"/>
      <c r="W810" s="1"/>
      <c r="X810" s="1"/>
      <c r="Y810" s="1"/>
    </row>
    <row r="811" customFormat="false" ht="15.75" hidden="false" customHeight="true" outlineLevel="0" collapsed="false">
      <c r="M811" s="1"/>
      <c r="N811" s="1"/>
      <c r="O811" s="1"/>
      <c r="P811" s="1"/>
      <c r="Q811" s="1"/>
      <c r="R811" s="1"/>
      <c r="S811" s="1"/>
      <c r="T811" s="1"/>
      <c r="U811" s="1"/>
      <c r="V811" s="1"/>
      <c r="W811" s="1"/>
      <c r="X811" s="1"/>
      <c r="Y811" s="1"/>
    </row>
    <row r="812" customFormat="false" ht="15.75" hidden="false" customHeight="true" outlineLevel="0" collapsed="false">
      <c r="M812" s="1"/>
      <c r="N812" s="1"/>
      <c r="O812" s="1"/>
      <c r="P812" s="1"/>
      <c r="Q812" s="1"/>
      <c r="R812" s="1"/>
      <c r="S812" s="1"/>
      <c r="T812" s="1"/>
      <c r="U812" s="1"/>
      <c r="V812" s="1"/>
      <c r="W812" s="1"/>
      <c r="X812" s="1"/>
      <c r="Y812" s="1"/>
    </row>
    <row r="813" customFormat="false" ht="15.75" hidden="false" customHeight="true" outlineLevel="0" collapsed="false">
      <c r="M813" s="1"/>
      <c r="N813" s="1"/>
      <c r="O813" s="1"/>
      <c r="P813" s="1"/>
      <c r="Q813" s="1"/>
      <c r="R813" s="1"/>
      <c r="S813" s="1"/>
      <c r="T813" s="1"/>
      <c r="U813" s="1"/>
      <c r="V813" s="1"/>
      <c r="W813" s="1"/>
      <c r="X813" s="1"/>
      <c r="Y813" s="1"/>
    </row>
    <row r="814" customFormat="false" ht="15.75" hidden="false" customHeight="true" outlineLevel="0" collapsed="false">
      <c r="M814" s="1"/>
      <c r="N814" s="1"/>
      <c r="O814" s="1"/>
      <c r="P814" s="1"/>
      <c r="Q814" s="1"/>
      <c r="R814" s="1"/>
      <c r="S814" s="1"/>
      <c r="T814" s="1"/>
      <c r="U814" s="1"/>
      <c r="V814" s="1"/>
      <c r="W814" s="1"/>
      <c r="X814" s="1"/>
      <c r="Y814" s="1"/>
    </row>
    <row r="815" customFormat="false" ht="15.75" hidden="false" customHeight="true" outlineLevel="0" collapsed="false">
      <c r="M815" s="1"/>
      <c r="N815" s="1"/>
      <c r="O815" s="1"/>
      <c r="P815" s="1"/>
      <c r="Q815" s="1"/>
      <c r="R815" s="1"/>
      <c r="S815" s="1"/>
      <c r="T815" s="1"/>
      <c r="U815" s="1"/>
      <c r="V815" s="1"/>
      <c r="W815" s="1"/>
      <c r="X815" s="1"/>
      <c r="Y815" s="1"/>
    </row>
    <row r="816" customFormat="false" ht="15.75" hidden="false" customHeight="true" outlineLevel="0" collapsed="false">
      <c r="M816" s="1"/>
      <c r="N816" s="1"/>
      <c r="O816" s="1"/>
      <c r="P816" s="1"/>
      <c r="Q816" s="1"/>
      <c r="R816" s="1"/>
      <c r="S816" s="1"/>
      <c r="T816" s="1"/>
      <c r="U816" s="1"/>
      <c r="V816" s="1"/>
      <c r="W816" s="1"/>
      <c r="X816" s="1"/>
      <c r="Y816" s="1"/>
    </row>
    <row r="817" customFormat="false" ht="15.75" hidden="false" customHeight="true" outlineLevel="0" collapsed="false">
      <c r="M817" s="1"/>
      <c r="N817" s="1"/>
      <c r="O817" s="1"/>
      <c r="P817" s="1"/>
      <c r="Q817" s="1"/>
      <c r="R817" s="1"/>
      <c r="S817" s="1"/>
      <c r="T817" s="1"/>
      <c r="U817" s="1"/>
      <c r="V817" s="1"/>
      <c r="W817" s="1"/>
      <c r="X817" s="1"/>
      <c r="Y817" s="1"/>
    </row>
    <row r="818" customFormat="false" ht="15.75" hidden="false" customHeight="true" outlineLevel="0" collapsed="false">
      <c r="M818" s="1"/>
      <c r="N818" s="1"/>
      <c r="O818" s="1"/>
      <c r="P818" s="1"/>
      <c r="Q818" s="1"/>
      <c r="R818" s="1"/>
      <c r="S818" s="1"/>
      <c r="T818" s="1"/>
      <c r="U818" s="1"/>
      <c r="V818" s="1"/>
      <c r="W818" s="1"/>
      <c r="X818" s="1"/>
      <c r="Y818" s="1"/>
    </row>
    <row r="819" customFormat="false" ht="15.75" hidden="false" customHeight="true" outlineLevel="0" collapsed="false">
      <c r="M819" s="1"/>
      <c r="N819" s="1"/>
      <c r="O819" s="1"/>
      <c r="P819" s="1"/>
      <c r="Q819" s="1"/>
      <c r="R819" s="1"/>
      <c r="S819" s="1"/>
      <c r="T819" s="1"/>
      <c r="U819" s="1"/>
      <c r="V819" s="1"/>
      <c r="W819" s="1"/>
      <c r="X819" s="1"/>
      <c r="Y819" s="1"/>
    </row>
    <row r="820" customFormat="false" ht="15.75" hidden="false" customHeight="true" outlineLevel="0" collapsed="false">
      <c r="M820" s="1"/>
      <c r="N820" s="1"/>
      <c r="O820" s="1"/>
      <c r="P820" s="1"/>
      <c r="Q820" s="1"/>
      <c r="R820" s="1"/>
      <c r="S820" s="1"/>
      <c r="T820" s="1"/>
      <c r="U820" s="1"/>
      <c r="V820" s="1"/>
      <c r="W820" s="1"/>
      <c r="X820" s="1"/>
      <c r="Y820" s="1"/>
    </row>
    <row r="821" customFormat="false" ht="15.75" hidden="false" customHeight="true" outlineLevel="0" collapsed="false">
      <c r="M821" s="1"/>
      <c r="N821" s="1"/>
      <c r="O821" s="1"/>
      <c r="P821" s="1"/>
      <c r="Q821" s="1"/>
      <c r="R821" s="1"/>
      <c r="S821" s="1"/>
      <c r="T821" s="1"/>
      <c r="U821" s="1"/>
      <c r="V821" s="1"/>
      <c r="W821" s="1"/>
      <c r="X821" s="1"/>
      <c r="Y821" s="1"/>
    </row>
    <row r="822" customFormat="false" ht="15.75" hidden="false" customHeight="true" outlineLevel="0" collapsed="false">
      <c r="M822" s="1"/>
      <c r="N822" s="1"/>
      <c r="O822" s="1"/>
      <c r="P822" s="1"/>
      <c r="Q822" s="1"/>
      <c r="R822" s="1"/>
      <c r="S822" s="1"/>
      <c r="T822" s="1"/>
      <c r="U822" s="1"/>
      <c r="V822" s="1"/>
      <c r="W822" s="1"/>
      <c r="X822" s="1"/>
      <c r="Y822" s="1"/>
    </row>
    <row r="823" customFormat="false" ht="15.75" hidden="false" customHeight="true" outlineLevel="0" collapsed="false">
      <c r="M823" s="1"/>
      <c r="N823" s="1"/>
      <c r="O823" s="1"/>
      <c r="P823" s="1"/>
      <c r="Q823" s="1"/>
      <c r="R823" s="1"/>
      <c r="S823" s="1"/>
      <c r="T823" s="1"/>
      <c r="U823" s="1"/>
      <c r="V823" s="1"/>
      <c r="W823" s="1"/>
      <c r="X823" s="1"/>
      <c r="Y823" s="1"/>
    </row>
    <row r="824" customFormat="false" ht="15.75" hidden="false" customHeight="true" outlineLevel="0" collapsed="false">
      <c r="M824" s="1"/>
      <c r="N824" s="1"/>
      <c r="O824" s="1"/>
      <c r="P824" s="1"/>
      <c r="Q824" s="1"/>
      <c r="R824" s="1"/>
      <c r="S824" s="1"/>
      <c r="T824" s="1"/>
      <c r="U824" s="1"/>
      <c r="V824" s="1"/>
      <c r="W824" s="1"/>
      <c r="X824" s="1"/>
      <c r="Y824" s="1"/>
    </row>
    <row r="825" customFormat="false" ht="15.75" hidden="false" customHeight="true" outlineLevel="0" collapsed="false">
      <c r="M825" s="1"/>
      <c r="N825" s="1"/>
      <c r="O825" s="1"/>
      <c r="P825" s="1"/>
      <c r="Q825" s="1"/>
      <c r="R825" s="1"/>
      <c r="S825" s="1"/>
      <c r="T825" s="1"/>
      <c r="U825" s="1"/>
      <c r="V825" s="1"/>
      <c r="W825" s="1"/>
      <c r="X825" s="1"/>
      <c r="Y825" s="1"/>
    </row>
    <row r="826" customFormat="false" ht="15.75" hidden="false" customHeight="true" outlineLevel="0" collapsed="false">
      <c r="M826" s="1"/>
      <c r="N826" s="1"/>
      <c r="O826" s="1"/>
      <c r="P826" s="1"/>
      <c r="Q826" s="1"/>
      <c r="R826" s="1"/>
      <c r="S826" s="1"/>
      <c r="T826" s="1"/>
      <c r="U826" s="1"/>
      <c r="V826" s="1"/>
      <c r="W826" s="1"/>
      <c r="X826" s="1"/>
      <c r="Y826" s="1"/>
    </row>
    <row r="827" customFormat="false" ht="15.75" hidden="false" customHeight="true" outlineLevel="0" collapsed="false">
      <c r="M827" s="1"/>
      <c r="N827" s="1"/>
      <c r="O827" s="1"/>
      <c r="P827" s="1"/>
      <c r="Q827" s="1"/>
      <c r="R827" s="1"/>
      <c r="S827" s="1"/>
      <c r="T827" s="1"/>
      <c r="U827" s="1"/>
      <c r="V827" s="1"/>
      <c r="W827" s="1"/>
      <c r="X827" s="1"/>
      <c r="Y827" s="1"/>
    </row>
    <row r="828" customFormat="false" ht="15.75" hidden="false" customHeight="true" outlineLevel="0" collapsed="false">
      <c r="M828" s="1"/>
      <c r="N828" s="1"/>
      <c r="O828" s="1"/>
      <c r="P828" s="1"/>
      <c r="Q828" s="1"/>
      <c r="R828" s="1"/>
      <c r="S828" s="1"/>
      <c r="T828" s="1"/>
      <c r="U828" s="1"/>
      <c r="V828" s="1"/>
      <c r="W828" s="1"/>
      <c r="X828" s="1"/>
      <c r="Y828" s="1"/>
    </row>
    <row r="829" customFormat="false" ht="15.75" hidden="false" customHeight="true" outlineLevel="0" collapsed="false">
      <c r="M829" s="1"/>
      <c r="N829" s="1"/>
      <c r="O829" s="1"/>
      <c r="P829" s="1"/>
      <c r="Q829" s="1"/>
      <c r="R829" s="1"/>
      <c r="S829" s="1"/>
      <c r="T829" s="1"/>
      <c r="U829" s="1"/>
      <c r="V829" s="1"/>
      <c r="W829" s="1"/>
      <c r="X829" s="1"/>
      <c r="Y829" s="1"/>
    </row>
    <row r="830" customFormat="false" ht="15.75" hidden="false" customHeight="true" outlineLevel="0" collapsed="false">
      <c r="M830" s="1"/>
      <c r="N830" s="1"/>
      <c r="O830" s="1"/>
      <c r="P830" s="1"/>
      <c r="Q830" s="1"/>
      <c r="R830" s="1"/>
      <c r="S830" s="1"/>
      <c r="T830" s="1"/>
      <c r="U830" s="1"/>
      <c r="V830" s="1"/>
      <c r="W830" s="1"/>
      <c r="X830" s="1"/>
      <c r="Y830" s="1"/>
    </row>
    <row r="831" customFormat="false" ht="15.75" hidden="false" customHeight="true" outlineLevel="0" collapsed="false">
      <c r="M831" s="1"/>
      <c r="N831" s="1"/>
      <c r="O831" s="1"/>
      <c r="P831" s="1"/>
      <c r="Q831" s="1"/>
      <c r="R831" s="1"/>
      <c r="S831" s="1"/>
      <c r="T831" s="1"/>
      <c r="U831" s="1"/>
      <c r="V831" s="1"/>
      <c r="W831" s="1"/>
      <c r="X831" s="1"/>
      <c r="Y831" s="1"/>
    </row>
    <row r="832" customFormat="false" ht="15.75" hidden="false" customHeight="true" outlineLevel="0" collapsed="false">
      <c r="M832" s="1"/>
      <c r="N832" s="1"/>
      <c r="O832" s="1"/>
      <c r="P832" s="1"/>
      <c r="Q832" s="1"/>
      <c r="R832" s="1"/>
      <c r="S832" s="1"/>
      <c r="T832" s="1"/>
      <c r="U832" s="1"/>
      <c r="V832" s="1"/>
      <c r="W832" s="1"/>
      <c r="X832" s="1"/>
      <c r="Y832" s="1"/>
    </row>
    <row r="833" customFormat="false" ht="15.75" hidden="false" customHeight="true" outlineLevel="0" collapsed="false">
      <c r="M833" s="1"/>
      <c r="N833" s="1"/>
      <c r="O833" s="1"/>
      <c r="P833" s="1"/>
      <c r="Q833" s="1"/>
      <c r="R833" s="1"/>
      <c r="S833" s="1"/>
      <c r="T833" s="1"/>
      <c r="U833" s="1"/>
      <c r="V833" s="1"/>
      <c r="W833" s="1"/>
      <c r="X833" s="1"/>
      <c r="Y833" s="1"/>
    </row>
    <row r="834" customFormat="false" ht="15.75" hidden="false" customHeight="true" outlineLevel="0" collapsed="false">
      <c r="M834" s="1"/>
      <c r="N834" s="1"/>
      <c r="O834" s="1"/>
      <c r="P834" s="1"/>
      <c r="Q834" s="1"/>
      <c r="R834" s="1"/>
      <c r="S834" s="1"/>
      <c r="T834" s="1"/>
      <c r="U834" s="1"/>
      <c r="V834" s="1"/>
      <c r="W834" s="1"/>
      <c r="X834" s="1"/>
      <c r="Y834" s="1"/>
    </row>
    <row r="835" customFormat="false" ht="15.75" hidden="false" customHeight="true" outlineLevel="0" collapsed="false">
      <c r="M835" s="1"/>
      <c r="N835" s="1"/>
      <c r="O835" s="1"/>
      <c r="P835" s="1"/>
      <c r="Q835" s="1"/>
      <c r="R835" s="1"/>
      <c r="S835" s="1"/>
      <c r="T835" s="1"/>
      <c r="U835" s="1"/>
      <c r="V835" s="1"/>
      <c r="W835" s="1"/>
      <c r="X835" s="1"/>
      <c r="Y835" s="1"/>
    </row>
    <row r="836" customFormat="false" ht="15.75" hidden="false" customHeight="true" outlineLevel="0" collapsed="false">
      <c r="M836" s="1"/>
      <c r="N836" s="1"/>
      <c r="O836" s="1"/>
      <c r="P836" s="1"/>
      <c r="Q836" s="1"/>
      <c r="R836" s="1"/>
      <c r="S836" s="1"/>
      <c r="T836" s="1"/>
      <c r="U836" s="1"/>
      <c r="V836" s="1"/>
      <c r="W836" s="1"/>
      <c r="X836" s="1"/>
      <c r="Y836" s="1"/>
    </row>
    <row r="837" customFormat="false" ht="15.75" hidden="false" customHeight="true" outlineLevel="0" collapsed="false">
      <c r="M837" s="1"/>
      <c r="N837" s="1"/>
      <c r="O837" s="1"/>
      <c r="P837" s="1"/>
      <c r="Q837" s="1"/>
      <c r="R837" s="1"/>
      <c r="S837" s="1"/>
      <c r="T837" s="1"/>
      <c r="U837" s="1"/>
      <c r="V837" s="1"/>
      <c r="W837" s="1"/>
      <c r="X837" s="1"/>
      <c r="Y837" s="1"/>
    </row>
    <row r="838" customFormat="false" ht="15.75" hidden="false" customHeight="true" outlineLevel="0" collapsed="false">
      <c r="M838" s="1"/>
      <c r="N838" s="1"/>
      <c r="O838" s="1"/>
      <c r="P838" s="1"/>
      <c r="Q838" s="1"/>
      <c r="R838" s="1"/>
      <c r="S838" s="1"/>
      <c r="T838" s="1"/>
      <c r="U838" s="1"/>
      <c r="V838" s="1"/>
      <c r="W838" s="1"/>
      <c r="X838" s="1"/>
      <c r="Y838" s="1"/>
    </row>
    <row r="839" customFormat="false" ht="15.75" hidden="false" customHeight="true" outlineLevel="0" collapsed="false">
      <c r="M839" s="1"/>
      <c r="N839" s="1"/>
      <c r="O839" s="1"/>
      <c r="P839" s="1"/>
      <c r="Q839" s="1"/>
      <c r="R839" s="1"/>
      <c r="S839" s="1"/>
      <c r="T839" s="1"/>
      <c r="U839" s="1"/>
      <c r="V839" s="1"/>
      <c r="W839" s="1"/>
      <c r="X839" s="1"/>
      <c r="Y839" s="1"/>
    </row>
    <row r="840" customFormat="false" ht="15.75" hidden="false" customHeight="true" outlineLevel="0" collapsed="false">
      <c r="M840" s="1"/>
      <c r="N840" s="1"/>
      <c r="O840" s="1"/>
      <c r="P840" s="1"/>
      <c r="Q840" s="1"/>
      <c r="R840" s="1"/>
      <c r="S840" s="1"/>
      <c r="T840" s="1"/>
      <c r="U840" s="1"/>
      <c r="V840" s="1"/>
      <c r="W840" s="1"/>
      <c r="X840" s="1"/>
      <c r="Y840" s="1"/>
    </row>
    <row r="841" customFormat="false" ht="15.75" hidden="false" customHeight="true" outlineLevel="0" collapsed="false">
      <c r="M841" s="1"/>
      <c r="N841" s="1"/>
      <c r="O841" s="1"/>
      <c r="P841" s="1"/>
      <c r="Q841" s="1"/>
      <c r="R841" s="1"/>
      <c r="S841" s="1"/>
      <c r="T841" s="1"/>
      <c r="U841" s="1"/>
      <c r="V841" s="1"/>
      <c r="W841" s="1"/>
      <c r="X841" s="1"/>
      <c r="Y841" s="1"/>
    </row>
    <row r="842" customFormat="false" ht="15.75" hidden="false" customHeight="true" outlineLevel="0" collapsed="false">
      <c r="M842" s="1"/>
      <c r="N842" s="1"/>
      <c r="O842" s="1"/>
      <c r="P842" s="1"/>
      <c r="Q842" s="1"/>
      <c r="R842" s="1"/>
      <c r="S842" s="1"/>
      <c r="T842" s="1"/>
      <c r="U842" s="1"/>
      <c r="V842" s="1"/>
      <c r="W842" s="1"/>
      <c r="X842" s="1"/>
      <c r="Y842" s="1"/>
    </row>
    <row r="843" customFormat="false" ht="15.75" hidden="false" customHeight="true" outlineLevel="0" collapsed="false">
      <c r="M843" s="1"/>
      <c r="N843" s="1"/>
      <c r="O843" s="1"/>
      <c r="P843" s="1"/>
      <c r="Q843" s="1"/>
      <c r="R843" s="1"/>
      <c r="S843" s="1"/>
      <c r="T843" s="1"/>
      <c r="U843" s="1"/>
      <c r="V843" s="1"/>
      <c r="W843" s="1"/>
      <c r="X843" s="1"/>
      <c r="Y843" s="1"/>
    </row>
    <row r="844" customFormat="false" ht="15.75" hidden="false" customHeight="true" outlineLevel="0" collapsed="false">
      <c r="M844" s="1"/>
      <c r="N844" s="1"/>
      <c r="O844" s="1"/>
      <c r="P844" s="1"/>
      <c r="Q844" s="1"/>
      <c r="R844" s="1"/>
      <c r="S844" s="1"/>
      <c r="T844" s="1"/>
      <c r="U844" s="1"/>
      <c r="V844" s="1"/>
      <c r="W844" s="1"/>
      <c r="X844" s="1"/>
      <c r="Y844" s="1"/>
    </row>
    <row r="845" customFormat="false" ht="15.75" hidden="false" customHeight="true" outlineLevel="0" collapsed="false">
      <c r="M845" s="1"/>
      <c r="N845" s="1"/>
      <c r="O845" s="1"/>
      <c r="P845" s="1"/>
      <c r="Q845" s="1"/>
      <c r="R845" s="1"/>
      <c r="S845" s="1"/>
      <c r="T845" s="1"/>
      <c r="U845" s="1"/>
      <c r="V845" s="1"/>
      <c r="W845" s="1"/>
      <c r="X845" s="1"/>
      <c r="Y845" s="1"/>
    </row>
    <row r="846" customFormat="false" ht="15.75" hidden="false" customHeight="true" outlineLevel="0" collapsed="false">
      <c r="M846" s="1"/>
      <c r="N846" s="1"/>
      <c r="O846" s="1"/>
      <c r="P846" s="1"/>
      <c r="Q846" s="1"/>
      <c r="R846" s="1"/>
      <c r="S846" s="1"/>
      <c r="T846" s="1"/>
      <c r="U846" s="1"/>
      <c r="V846" s="1"/>
      <c r="W846" s="1"/>
      <c r="X846" s="1"/>
      <c r="Y846" s="1"/>
    </row>
    <row r="847" customFormat="false" ht="15.75" hidden="false" customHeight="true" outlineLevel="0" collapsed="false">
      <c r="M847" s="1"/>
      <c r="N847" s="1"/>
      <c r="O847" s="1"/>
      <c r="P847" s="1"/>
      <c r="Q847" s="1"/>
      <c r="R847" s="1"/>
      <c r="S847" s="1"/>
      <c r="T847" s="1"/>
      <c r="U847" s="1"/>
      <c r="V847" s="1"/>
      <c r="W847" s="1"/>
      <c r="X847" s="1"/>
      <c r="Y847" s="1"/>
    </row>
    <row r="848" customFormat="false" ht="15.75" hidden="false" customHeight="true" outlineLevel="0" collapsed="false">
      <c r="M848" s="1"/>
      <c r="N848" s="1"/>
      <c r="O848" s="1"/>
      <c r="P848" s="1"/>
      <c r="Q848" s="1"/>
      <c r="R848" s="1"/>
      <c r="S848" s="1"/>
      <c r="T848" s="1"/>
      <c r="U848" s="1"/>
      <c r="V848" s="1"/>
      <c r="W848" s="1"/>
      <c r="X848" s="1"/>
      <c r="Y848" s="1"/>
    </row>
    <row r="849" customFormat="false" ht="15.75" hidden="false" customHeight="true" outlineLevel="0" collapsed="false">
      <c r="M849" s="1"/>
      <c r="N849" s="1"/>
      <c r="O849" s="1"/>
      <c r="P849" s="1"/>
      <c r="Q849" s="1"/>
      <c r="R849" s="1"/>
      <c r="S849" s="1"/>
      <c r="T849" s="1"/>
      <c r="U849" s="1"/>
      <c r="V849" s="1"/>
      <c r="W849" s="1"/>
      <c r="X849" s="1"/>
      <c r="Y849" s="1"/>
    </row>
    <row r="850" customFormat="false" ht="15.75" hidden="false" customHeight="true" outlineLevel="0" collapsed="false">
      <c r="M850" s="1"/>
      <c r="N850" s="1"/>
      <c r="O850" s="1"/>
      <c r="P850" s="1"/>
      <c r="Q850" s="1"/>
      <c r="R850" s="1"/>
      <c r="S850" s="1"/>
      <c r="T850" s="1"/>
      <c r="U850" s="1"/>
      <c r="V850" s="1"/>
      <c r="W850" s="1"/>
      <c r="X850" s="1"/>
      <c r="Y850" s="1"/>
    </row>
    <row r="851" customFormat="false" ht="15.75" hidden="false" customHeight="true" outlineLevel="0" collapsed="false">
      <c r="M851" s="1"/>
      <c r="N851" s="1"/>
      <c r="O851" s="1"/>
      <c r="P851" s="1"/>
      <c r="Q851" s="1"/>
      <c r="R851" s="1"/>
      <c r="S851" s="1"/>
      <c r="T851" s="1"/>
      <c r="U851" s="1"/>
      <c r="V851" s="1"/>
      <c r="W851" s="1"/>
      <c r="X851" s="1"/>
      <c r="Y851" s="1"/>
    </row>
    <row r="852" customFormat="false" ht="15.75" hidden="false" customHeight="true" outlineLevel="0" collapsed="false">
      <c r="M852" s="1"/>
      <c r="N852" s="1"/>
      <c r="O852" s="1"/>
      <c r="P852" s="1"/>
      <c r="Q852" s="1"/>
      <c r="R852" s="1"/>
      <c r="S852" s="1"/>
      <c r="T852" s="1"/>
      <c r="U852" s="1"/>
      <c r="V852" s="1"/>
      <c r="W852" s="1"/>
      <c r="X852" s="1"/>
      <c r="Y852" s="1"/>
    </row>
    <row r="853" customFormat="false" ht="15.75" hidden="false" customHeight="true" outlineLevel="0" collapsed="false">
      <c r="M853" s="1"/>
      <c r="N853" s="1"/>
      <c r="O853" s="1"/>
      <c r="P853" s="1"/>
      <c r="Q853" s="1"/>
      <c r="R853" s="1"/>
      <c r="S853" s="1"/>
      <c r="T853" s="1"/>
      <c r="U853" s="1"/>
      <c r="V853" s="1"/>
      <c r="W853" s="1"/>
      <c r="X853" s="1"/>
      <c r="Y853" s="1"/>
    </row>
    <row r="854" customFormat="false" ht="15.75" hidden="false" customHeight="true" outlineLevel="0" collapsed="false">
      <c r="M854" s="1"/>
      <c r="N854" s="1"/>
      <c r="O854" s="1"/>
      <c r="P854" s="1"/>
      <c r="Q854" s="1"/>
      <c r="R854" s="1"/>
      <c r="S854" s="1"/>
      <c r="T854" s="1"/>
      <c r="U854" s="1"/>
      <c r="V854" s="1"/>
      <c r="W854" s="1"/>
      <c r="X854" s="1"/>
      <c r="Y854" s="1"/>
    </row>
    <row r="855" customFormat="false" ht="15.75" hidden="false" customHeight="true" outlineLevel="0" collapsed="false">
      <c r="M855" s="1"/>
      <c r="N855" s="1"/>
      <c r="O855" s="1"/>
      <c r="P855" s="1"/>
      <c r="Q855" s="1"/>
      <c r="R855" s="1"/>
      <c r="S855" s="1"/>
      <c r="T855" s="1"/>
      <c r="U855" s="1"/>
      <c r="V855" s="1"/>
      <c r="W855" s="1"/>
      <c r="X855" s="1"/>
      <c r="Y855" s="1"/>
    </row>
    <row r="856" customFormat="false" ht="15.75" hidden="false" customHeight="true" outlineLevel="0" collapsed="false">
      <c r="M856" s="1"/>
      <c r="N856" s="1"/>
      <c r="O856" s="1"/>
      <c r="P856" s="1"/>
      <c r="Q856" s="1"/>
      <c r="R856" s="1"/>
      <c r="S856" s="1"/>
      <c r="T856" s="1"/>
      <c r="U856" s="1"/>
      <c r="V856" s="1"/>
      <c r="W856" s="1"/>
      <c r="X856" s="1"/>
      <c r="Y856" s="1"/>
    </row>
    <row r="857" customFormat="false" ht="15.75" hidden="false" customHeight="true" outlineLevel="0" collapsed="false">
      <c r="M857" s="1"/>
      <c r="N857" s="1"/>
      <c r="O857" s="1"/>
      <c r="P857" s="1"/>
      <c r="Q857" s="1"/>
      <c r="R857" s="1"/>
      <c r="S857" s="1"/>
      <c r="T857" s="1"/>
      <c r="U857" s="1"/>
      <c r="V857" s="1"/>
      <c r="W857" s="1"/>
      <c r="X857" s="1"/>
      <c r="Y857" s="1"/>
    </row>
    <row r="858" customFormat="false" ht="15.75" hidden="false" customHeight="true" outlineLevel="0" collapsed="false">
      <c r="M858" s="1"/>
      <c r="N858" s="1"/>
      <c r="O858" s="1"/>
      <c r="P858" s="1"/>
      <c r="Q858" s="1"/>
      <c r="R858" s="1"/>
      <c r="S858" s="1"/>
      <c r="T858" s="1"/>
      <c r="U858" s="1"/>
      <c r="V858" s="1"/>
      <c r="W858" s="1"/>
      <c r="X858" s="1"/>
      <c r="Y858" s="1"/>
    </row>
    <row r="859" customFormat="false" ht="15.75" hidden="false" customHeight="true" outlineLevel="0" collapsed="false">
      <c r="M859" s="1"/>
      <c r="N859" s="1"/>
      <c r="O859" s="1"/>
      <c r="P859" s="1"/>
      <c r="Q859" s="1"/>
      <c r="R859" s="1"/>
      <c r="S859" s="1"/>
      <c r="T859" s="1"/>
      <c r="U859" s="1"/>
      <c r="V859" s="1"/>
      <c r="W859" s="1"/>
      <c r="X859" s="1"/>
      <c r="Y859" s="1"/>
    </row>
    <row r="860" customFormat="false" ht="15.75" hidden="false" customHeight="true" outlineLevel="0" collapsed="false">
      <c r="M860" s="1"/>
      <c r="N860" s="1"/>
      <c r="O860" s="1"/>
      <c r="P860" s="1"/>
      <c r="Q860" s="1"/>
      <c r="R860" s="1"/>
      <c r="S860" s="1"/>
      <c r="T860" s="1"/>
      <c r="U860" s="1"/>
      <c r="V860" s="1"/>
      <c r="W860" s="1"/>
      <c r="X860" s="1"/>
      <c r="Y860" s="1"/>
    </row>
    <row r="861" customFormat="false" ht="15.75" hidden="false" customHeight="true" outlineLevel="0" collapsed="false">
      <c r="M861" s="1"/>
      <c r="N861" s="1"/>
      <c r="O861" s="1"/>
      <c r="P861" s="1"/>
      <c r="Q861" s="1"/>
      <c r="R861" s="1"/>
      <c r="S861" s="1"/>
      <c r="T861" s="1"/>
      <c r="U861" s="1"/>
      <c r="V861" s="1"/>
      <c r="W861" s="1"/>
      <c r="X861" s="1"/>
      <c r="Y861" s="1"/>
    </row>
    <row r="862" customFormat="false" ht="15.75" hidden="false" customHeight="true" outlineLevel="0" collapsed="false">
      <c r="M862" s="1"/>
      <c r="N862" s="1"/>
      <c r="O862" s="1"/>
      <c r="P862" s="1"/>
      <c r="Q862" s="1"/>
      <c r="R862" s="1"/>
      <c r="S862" s="1"/>
      <c r="T862" s="1"/>
      <c r="U862" s="1"/>
      <c r="V862" s="1"/>
      <c r="W862" s="1"/>
      <c r="X862" s="1"/>
      <c r="Y862" s="1"/>
    </row>
    <row r="863" customFormat="false" ht="15.75" hidden="false" customHeight="true" outlineLevel="0" collapsed="false">
      <c r="M863" s="1"/>
      <c r="N863" s="1"/>
      <c r="O863" s="1"/>
      <c r="P863" s="1"/>
      <c r="Q863" s="1"/>
      <c r="R863" s="1"/>
      <c r="S863" s="1"/>
      <c r="T863" s="1"/>
      <c r="U863" s="1"/>
      <c r="V863" s="1"/>
      <c r="W863" s="1"/>
      <c r="X863" s="1"/>
      <c r="Y863" s="1"/>
    </row>
    <row r="864" customFormat="false" ht="15.75" hidden="false" customHeight="true" outlineLevel="0" collapsed="false">
      <c r="M864" s="1"/>
      <c r="N864" s="1"/>
      <c r="O864" s="1"/>
      <c r="P864" s="1"/>
      <c r="Q864" s="1"/>
      <c r="R864" s="1"/>
      <c r="S864" s="1"/>
      <c r="T864" s="1"/>
      <c r="U864" s="1"/>
      <c r="V864" s="1"/>
      <c r="W864" s="1"/>
      <c r="X864" s="1"/>
      <c r="Y864" s="1"/>
    </row>
    <row r="865" customFormat="false" ht="15.75" hidden="false" customHeight="true" outlineLevel="0" collapsed="false">
      <c r="M865" s="1"/>
      <c r="N865" s="1"/>
      <c r="O865" s="1"/>
      <c r="P865" s="1"/>
      <c r="Q865" s="1"/>
      <c r="R865" s="1"/>
      <c r="S865" s="1"/>
      <c r="T865" s="1"/>
      <c r="U865" s="1"/>
      <c r="V865" s="1"/>
      <c r="W865" s="1"/>
      <c r="X865" s="1"/>
      <c r="Y865" s="1"/>
    </row>
    <row r="866" customFormat="false" ht="15.75" hidden="false" customHeight="true" outlineLevel="0" collapsed="false">
      <c r="M866" s="1"/>
      <c r="N866" s="1"/>
      <c r="O866" s="1"/>
      <c r="P866" s="1"/>
      <c r="Q866" s="1"/>
      <c r="R866" s="1"/>
      <c r="S866" s="1"/>
      <c r="T866" s="1"/>
      <c r="U866" s="1"/>
      <c r="V866" s="1"/>
      <c r="W866" s="1"/>
      <c r="X866" s="1"/>
      <c r="Y866" s="1"/>
    </row>
    <row r="867" customFormat="false" ht="15.75" hidden="false" customHeight="true" outlineLevel="0" collapsed="false">
      <c r="M867" s="1"/>
      <c r="N867" s="1"/>
      <c r="O867" s="1"/>
      <c r="P867" s="1"/>
      <c r="Q867" s="1"/>
      <c r="R867" s="1"/>
      <c r="S867" s="1"/>
      <c r="T867" s="1"/>
      <c r="U867" s="1"/>
      <c r="V867" s="1"/>
      <c r="W867" s="1"/>
      <c r="X867" s="1"/>
      <c r="Y867" s="1"/>
    </row>
    <row r="868" customFormat="false" ht="15.75" hidden="false" customHeight="true" outlineLevel="0" collapsed="false">
      <c r="M868" s="1"/>
      <c r="N868" s="1"/>
      <c r="O868" s="1"/>
      <c r="P868" s="1"/>
      <c r="Q868" s="1"/>
      <c r="R868" s="1"/>
      <c r="S868" s="1"/>
      <c r="T868" s="1"/>
      <c r="U868" s="1"/>
      <c r="V868" s="1"/>
      <c r="W868" s="1"/>
      <c r="X868" s="1"/>
      <c r="Y868" s="1"/>
    </row>
    <row r="869" customFormat="false" ht="15.75" hidden="false" customHeight="true" outlineLevel="0" collapsed="false">
      <c r="M869" s="1"/>
      <c r="N869" s="1"/>
      <c r="O869" s="1"/>
      <c r="P869" s="1"/>
      <c r="Q869" s="1"/>
      <c r="R869" s="1"/>
      <c r="S869" s="1"/>
      <c r="T869" s="1"/>
      <c r="U869" s="1"/>
      <c r="V869" s="1"/>
      <c r="W869" s="1"/>
      <c r="X869" s="1"/>
      <c r="Y869" s="1"/>
    </row>
    <row r="870" customFormat="false" ht="15.75" hidden="false" customHeight="true" outlineLevel="0" collapsed="false">
      <c r="M870" s="1"/>
      <c r="N870" s="1"/>
      <c r="O870" s="1"/>
      <c r="P870" s="1"/>
      <c r="Q870" s="1"/>
      <c r="R870" s="1"/>
      <c r="S870" s="1"/>
      <c r="T870" s="1"/>
      <c r="U870" s="1"/>
      <c r="V870" s="1"/>
      <c r="W870" s="1"/>
      <c r="X870" s="1"/>
      <c r="Y870" s="1"/>
    </row>
    <row r="871" customFormat="false" ht="15.75" hidden="false" customHeight="true" outlineLevel="0" collapsed="false">
      <c r="M871" s="1"/>
      <c r="N871" s="1"/>
      <c r="O871" s="1"/>
      <c r="P871" s="1"/>
      <c r="Q871" s="1"/>
      <c r="R871" s="1"/>
      <c r="S871" s="1"/>
      <c r="T871" s="1"/>
      <c r="U871" s="1"/>
      <c r="V871" s="1"/>
      <c r="W871" s="1"/>
      <c r="X871" s="1"/>
      <c r="Y871" s="1"/>
    </row>
    <row r="872" customFormat="false" ht="15.75" hidden="false" customHeight="true" outlineLevel="0" collapsed="false">
      <c r="M872" s="1"/>
      <c r="N872" s="1"/>
      <c r="O872" s="1"/>
      <c r="P872" s="1"/>
      <c r="Q872" s="1"/>
      <c r="R872" s="1"/>
      <c r="S872" s="1"/>
      <c r="T872" s="1"/>
      <c r="U872" s="1"/>
      <c r="V872" s="1"/>
      <c r="W872" s="1"/>
      <c r="X872" s="1"/>
      <c r="Y872" s="1"/>
    </row>
    <row r="873" customFormat="false" ht="15.75" hidden="false" customHeight="true" outlineLevel="0" collapsed="false">
      <c r="M873" s="1"/>
      <c r="N873" s="1"/>
      <c r="O873" s="1"/>
      <c r="P873" s="1"/>
      <c r="Q873" s="1"/>
      <c r="R873" s="1"/>
      <c r="S873" s="1"/>
      <c r="T873" s="1"/>
      <c r="U873" s="1"/>
      <c r="V873" s="1"/>
      <c r="W873" s="1"/>
      <c r="X873" s="1"/>
      <c r="Y873" s="1"/>
    </row>
    <row r="874" customFormat="false" ht="15.75" hidden="false" customHeight="true" outlineLevel="0" collapsed="false">
      <c r="M874" s="1"/>
      <c r="N874" s="1"/>
      <c r="O874" s="1"/>
      <c r="P874" s="1"/>
      <c r="Q874" s="1"/>
      <c r="R874" s="1"/>
      <c r="S874" s="1"/>
      <c r="T874" s="1"/>
      <c r="U874" s="1"/>
      <c r="V874" s="1"/>
      <c r="W874" s="1"/>
      <c r="X874" s="1"/>
      <c r="Y874" s="1"/>
    </row>
    <row r="875" customFormat="false" ht="15.75" hidden="false" customHeight="true" outlineLevel="0" collapsed="false">
      <c r="M875" s="1"/>
      <c r="N875" s="1"/>
      <c r="O875" s="1"/>
      <c r="P875" s="1"/>
      <c r="Q875" s="1"/>
      <c r="R875" s="1"/>
      <c r="S875" s="1"/>
      <c r="T875" s="1"/>
      <c r="U875" s="1"/>
      <c r="V875" s="1"/>
      <c r="W875" s="1"/>
      <c r="X875" s="1"/>
      <c r="Y875" s="1"/>
    </row>
    <row r="876" customFormat="false" ht="15.75" hidden="false" customHeight="true" outlineLevel="0" collapsed="false">
      <c r="M876" s="1"/>
      <c r="N876" s="1"/>
      <c r="O876" s="1"/>
      <c r="P876" s="1"/>
      <c r="Q876" s="1"/>
      <c r="R876" s="1"/>
      <c r="S876" s="1"/>
      <c r="T876" s="1"/>
      <c r="U876" s="1"/>
      <c r="V876" s="1"/>
      <c r="W876" s="1"/>
      <c r="X876" s="1"/>
      <c r="Y876" s="1"/>
    </row>
    <row r="877" customFormat="false" ht="15.75" hidden="false" customHeight="true" outlineLevel="0" collapsed="false">
      <c r="M877" s="1"/>
      <c r="N877" s="1"/>
      <c r="O877" s="1"/>
      <c r="P877" s="1"/>
      <c r="Q877" s="1"/>
      <c r="R877" s="1"/>
      <c r="S877" s="1"/>
      <c r="T877" s="1"/>
      <c r="U877" s="1"/>
      <c r="V877" s="1"/>
      <c r="W877" s="1"/>
      <c r="X877" s="1"/>
      <c r="Y877" s="1"/>
    </row>
    <row r="878" customFormat="false" ht="15.75" hidden="false" customHeight="true" outlineLevel="0" collapsed="false">
      <c r="M878" s="1"/>
      <c r="N878" s="1"/>
      <c r="O878" s="1"/>
      <c r="P878" s="1"/>
      <c r="Q878" s="1"/>
      <c r="R878" s="1"/>
      <c r="S878" s="1"/>
      <c r="T878" s="1"/>
      <c r="U878" s="1"/>
      <c r="V878" s="1"/>
      <c r="W878" s="1"/>
      <c r="X878" s="1"/>
      <c r="Y878" s="1"/>
    </row>
    <row r="879" customFormat="false" ht="15.75" hidden="false" customHeight="true" outlineLevel="0" collapsed="false">
      <c r="M879" s="1"/>
      <c r="N879" s="1"/>
      <c r="O879" s="1"/>
      <c r="P879" s="1"/>
      <c r="Q879" s="1"/>
      <c r="R879" s="1"/>
      <c r="S879" s="1"/>
      <c r="T879" s="1"/>
      <c r="U879" s="1"/>
      <c r="V879" s="1"/>
      <c r="W879" s="1"/>
      <c r="X879" s="1"/>
      <c r="Y879" s="1"/>
    </row>
    <row r="880" customFormat="false" ht="15.75" hidden="false" customHeight="true" outlineLevel="0" collapsed="false">
      <c r="M880" s="1"/>
      <c r="N880" s="1"/>
      <c r="O880" s="1"/>
      <c r="P880" s="1"/>
      <c r="Q880" s="1"/>
      <c r="R880" s="1"/>
      <c r="S880" s="1"/>
      <c r="T880" s="1"/>
      <c r="U880" s="1"/>
      <c r="V880" s="1"/>
      <c r="W880" s="1"/>
      <c r="X880" s="1"/>
      <c r="Y880" s="1"/>
    </row>
    <row r="881" customFormat="false" ht="15.75" hidden="false" customHeight="true" outlineLevel="0" collapsed="false">
      <c r="M881" s="1"/>
      <c r="N881" s="1"/>
      <c r="O881" s="1"/>
      <c r="P881" s="1"/>
      <c r="Q881" s="1"/>
      <c r="R881" s="1"/>
      <c r="S881" s="1"/>
      <c r="T881" s="1"/>
      <c r="U881" s="1"/>
      <c r="V881" s="1"/>
      <c r="W881" s="1"/>
      <c r="X881" s="1"/>
      <c r="Y881" s="1"/>
    </row>
    <row r="882" customFormat="false" ht="15.75" hidden="false" customHeight="true" outlineLevel="0" collapsed="false">
      <c r="M882" s="1"/>
      <c r="N882" s="1"/>
      <c r="O882" s="1"/>
      <c r="P882" s="1"/>
      <c r="Q882" s="1"/>
      <c r="R882" s="1"/>
      <c r="S882" s="1"/>
      <c r="T882" s="1"/>
      <c r="U882" s="1"/>
      <c r="V882" s="1"/>
      <c r="W882" s="1"/>
      <c r="X882" s="1"/>
      <c r="Y882" s="1"/>
    </row>
    <row r="883" customFormat="false" ht="15.75" hidden="false" customHeight="true" outlineLevel="0" collapsed="false">
      <c r="M883" s="1"/>
      <c r="N883" s="1"/>
      <c r="O883" s="1"/>
      <c r="P883" s="1"/>
      <c r="Q883" s="1"/>
      <c r="R883" s="1"/>
      <c r="S883" s="1"/>
      <c r="T883" s="1"/>
      <c r="U883" s="1"/>
      <c r="V883" s="1"/>
      <c r="W883" s="1"/>
      <c r="X883" s="1"/>
      <c r="Y883" s="1"/>
    </row>
    <row r="884" customFormat="false" ht="15.75" hidden="false" customHeight="true" outlineLevel="0" collapsed="false">
      <c r="M884" s="1"/>
      <c r="N884" s="1"/>
      <c r="O884" s="1"/>
      <c r="P884" s="1"/>
      <c r="Q884" s="1"/>
      <c r="R884" s="1"/>
      <c r="S884" s="1"/>
      <c r="T884" s="1"/>
      <c r="U884" s="1"/>
      <c r="V884" s="1"/>
      <c r="W884" s="1"/>
      <c r="X884" s="1"/>
      <c r="Y884" s="1"/>
    </row>
    <row r="885" customFormat="false" ht="15.75" hidden="false" customHeight="true" outlineLevel="0" collapsed="false">
      <c r="M885" s="1"/>
      <c r="N885" s="1"/>
      <c r="O885" s="1"/>
      <c r="P885" s="1"/>
      <c r="Q885" s="1"/>
      <c r="R885" s="1"/>
      <c r="S885" s="1"/>
      <c r="T885" s="1"/>
      <c r="U885" s="1"/>
      <c r="V885" s="1"/>
      <c r="W885" s="1"/>
      <c r="X885" s="1"/>
      <c r="Y885" s="1"/>
    </row>
    <row r="886" customFormat="false" ht="15.75" hidden="false" customHeight="true" outlineLevel="0" collapsed="false">
      <c r="M886" s="1"/>
      <c r="N886" s="1"/>
      <c r="O886" s="1"/>
      <c r="P886" s="1"/>
      <c r="Q886" s="1"/>
      <c r="R886" s="1"/>
      <c r="S886" s="1"/>
      <c r="T886" s="1"/>
      <c r="U886" s="1"/>
      <c r="V886" s="1"/>
      <c r="W886" s="1"/>
      <c r="X886" s="1"/>
      <c r="Y886" s="1"/>
    </row>
    <row r="887" customFormat="false" ht="15.75" hidden="false" customHeight="true" outlineLevel="0" collapsed="false">
      <c r="M887" s="1"/>
      <c r="N887" s="1"/>
      <c r="O887" s="1"/>
      <c r="P887" s="1"/>
      <c r="Q887" s="1"/>
      <c r="R887" s="1"/>
      <c r="S887" s="1"/>
      <c r="T887" s="1"/>
      <c r="U887" s="1"/>
      <c r="V887" s="1"/>
      <c r="W887" s="1"/>
      <c r="X887" s="1"/>
      <c r="Y887" s="1"/>
    </row>
    <row r="888" customFormat="false" ht="15.75" hidden="false" customHeight="true" outlineLevel="0" collapsed="false">
      <c r="M888" s="1"/>
      <c r="N888" s="1"/>
      <c r="O888" s="1"/>
      <c r="P888" s="1"/>
      <c r="Q888" s="1"/>
      <c r="R888" s="1"/>
      <c r="S888" s="1"/>
      <c r="T888" s="1"/>
      <c r="U888" s="1"/>
      <c r="V888" s="1"/>
      <c r="W888" s="1"/>
      <c r="X888" s="1"/>
      <c r="Y888" s="1"/>
    </row>
    <row r="889" customFormat="false" ht="15.75" hidden="false" customHeight="true" outlineLevel="0" collapsed="false">
      <c r="M889" s="1"/>
      <c r="N889" s="1"/>
      <c r="O889" s="1"/>
      <c r="P889" s="1"/>
      <c r="Q889" s="1"/>
      <c r="R889" s="1"/>
      <c r="S889" s="1"/>
      <c r="T889" s="1"/>
      <c r="U889" s="1"/>
      <c r="V889" s="1"/>
      <c r="W889" s="1"/>
      <c r="X889" s="1"/>
      <c r="Y889" s="1"/>
    </row>
    <row r="890" customFormat="false" ht="15.75" hidden="false" customHeight="true" outlineLevel="0" collapsed="false">
      <c r="M890" s="1"/>
      <c r="N890" s="1"/>
      <c r="O890" s="1"/>
      <c r="P890" s="1"/>
      <c r="Q890" s="1"/>
      <c r="R890" s="1"/>
      <c r="S890" s="1"/>
      <c r="T890" s="1"/>
      <c r="U890" s="1"/>
      <c r="V890" s="1"/>
      <c r="W890" s="1"/>
      <c r="X890" s="1"/>
      <c r="Y890" s="1"/>
    </row>
    <row r="891" customFormat="false" ht="15.75" hidden="false" customHeight="true" outlineLevel="0" collapsed="false">
      <c r="M891" s="1"/>
      <c r="N891" s="1"/>
      <c r="O891" s="1"/>
      <c r="P891" s="1"/>
      <c r="Q891" s="1"/>
      <c r="R891" s="1"/>
      <c r="S891" s="1"/>
      <c r="T891" s="1"/>
      <c r="U891" s="1"/>
      <c r="V891" s="1"/>
      <c r="W891" s="1"/>
      <c r="X891" s="1"/>
      <c r="Y891" s="1"/>
    </row>
    <row r="892" customFormat="false" ht="15.75" hidden="false" customHeight="true" outlineLevel="0" collapsed="false">
      <c r="M892" s="1"/>
      <c r="N892" s="1"/>
      <c r="O892" s="1"/>
      <c r="P892" s="1"/>
      <c r="Q892" s="1"/>
      <c r="R892" s="1"/>
      <c r="S892" s="1"/>
      <c r="T892" s="1"/>
      <c r="U892" s="1"/>
      <c r="V892" s="1"/>
      <c r="W892" s="1"/>
      <c r="X892" s="1"/>
      <c r="Y892" s="1"/>
    </row>
    <row r="893" customFormat="false" ht="15.75" hidden="false" customHeight="true" outlineLevel="0" collapsed="false">
      <c r="M893" s="1"/>
      <c r="N893" s="1"/>
      <c r="O893" s="1"/>
      <c r="P893" s="1"/>
      <c r="Q893" s="1"/>
      <c r="R893" s="1"/>
      <c r="S893" s="1"/>
      <c r="T893" s="1"/>
      <c r="U893" s="1"/>
      <c r="V893" s="1"/>
      <c r="W893" s="1"/>
      <c r="X893" s="1"/>
      <c r="Y893" s="1"/>
    </row>
    <row r="894" customFormat="false" ht="15.75" hidden="false" customHeight="true" outlineLevel="0" collapsed="false">
      <c r="M894" s="1"/>
      <c r="N894" s="1"/>
      <c r="O894" s="1"/>
      <c r="P894" s="1"/>
      <c r="Q894" s="1"/>
      <c r="R894" s="1"/>
      <c r="S894" s="1"/>
      <c r="T894" s="1"/>
      <c r="U894" s="1"/>
      <c r="V894" s="1"/>
      <c r="W894" s="1"/>
      <c r="X894" s="1"/>
      <c r="Y894" s="1"/>
    </row>
    <row r="895" customFormat="false" ht="15.75" hidden="false" customHeight="true" outlineLevel="0" collapsed="false">
      <c r="M895" s="1"/>
      <c r="N895" s="1"/>
      <c r="O895" s="1"/>
      <c r="P895" s="1"/>
      <c r="Q895" s="1"/>
      <c r="R895" s="1"/>
      <c r="S895" s="1"/>
      <c r="T895" s="1"/>
      <c r="U895" s="1"/>
      <c r="V895" s="1"/>
      <c r="W895" s="1"/>
      <c r="X895" s="1"/>
      <c r="Y895" s="1"/>
    </row>
    <row r="896" customFormat="false" ht="15.75" hidden="false" customHeight="true" outlineLevel="0" collapsed="false">
      <c r="M896" s="1"/>
      <c r="N896" s="1"/>
      <c r="O896" s="1"/>
      <c r="P896" s="1"/>
      <c r="Q896" s="1"/>
      <c r="R896" s="1"/>
      <c r="S896" s="1"/>
      <c r="T896" s="1"/>
      <c r="U896" s="1"/>
      <c r="V896" s="1"/>
      <c r="W896" s="1"/>
      <c r="X896" s="1"/>
      <c r="Y896" s="1"/>
    </row>
    <row r="897" customFormat="false" ht="15.75" hidden="false" customHeight="true" outlineLevel="0" collapsed="false">
      <c r="M897" s="1"/>
      <c r="N897" s="1"/>
      <c r="O897" s="1"/>
      <c r="P897" s="1"/>
      <c r="Q897" s="1"/>
      <c r="R897" s="1"/>
      <c r="S897" s="1"/>
      <c r="T897" s="1"/>
      <c r="U897" s="1"/>
      <c r="V897" s="1"/>
      <c r="W897" s="1"/>
      <c r="X897" s="1"/>
      <c r="Y897" s="1"/>
    </row>
    <row r="898" customFormat="false" ht="15.75" hidden="false" customHeight="true" outlineLevel="0" collapsed="false">
      <c r="M898" s="1"/>
      <c r="N898" s="1"/>
      <c r="O898" s="1"/>
      <c r="P898" s="1"/>
      <c r="Q898" s="1"/>
      <c r="R898" s="1"/>
      <c r="S898" s="1"/>
      <c r="T898" s="1"/>
      <c r="U898" s="1"/>
      <c r="V898" s="1"/>
      <c r="W898" s="1"/>
      <c r="X898" s="1"/>
      <c r="Y898" s="1"/>
    </row>
    <row r="899" customFormat="false" ht="15.75" hidden="false" customHeight="true" outlineLevel="0" collapsed="false">
      <c r="M899" s="1"/>
      <c r="N899" s="1"/>
      <c r="O899" s="1"/>
      <c r="P899" s="1"/>
      <c r="Q899" s="1"/>
      <c r="R899" s="1"/>
      <c r="S899" s="1"/>
      <c r="T899" s="1"/>
      <c r="U899" s="1"/>
      <c r="V899" s="1"/>
      <c r="W899" s="1"/>
      <c r="X899" s="1"/>
      <c r="Y899" s="1"/>
    </row>
    <row r="900" customFormat="false" ht="15.75" hidden="false" customHeight="true" outlineLevel="0" collapsed="false">
      <c r="M900" s="1"/>
      <c r="N900" s="1"/>
      <c r="O900" s="1"/>
      <c r="P900" s="1"/>
      <c r="Q900" s="1"/>
      <c r="R900" s="1"/>
      <c r="S900" s="1"/>
      <c r="T900" s="1"/>
      <c r="U900" s="1"/>
      <c r="V900" s="1"/>
      <c r="W900" s="1"/>
      <c r="X900" s="1"/>
      <c r="Y900" s="1"/>
    </row>
    <row r="901" customFormat="false" ht="15.75" hidden="false" customHeight="true" outlineLevel="0" collapsed="false">
      <c r="M901" s="1"/>
      <c r="N901" s="1"/>
      <c r="O901" s="1"/>
      <c r="P901" s="1"/>
      <c r="Q901" s="1"/>
      <c r="R901" s="1"/>
      <c r="S901" s="1"/>
      <c r="T901" s="1"/>
      <c r="U901" s="1"/>
      <c r="V901" s="1"/>
      <c r="W901" s="1"/>
      <c r="X901" s="1"/>
      <c r="Y901" s="1"/>
    </row>
    <row r="902" customFormat="false" ht="15.75" hidden="false" customHeight="true" outlineLevel="0" collapsed="false">
      <c r="M902" s="1"/>
      <c r="N902" s="1"/>
      <c r="O902" s="1"/>
      <c r="P902" s="1"/>
      <c r="Q902" s="1"/>
      <c r="R902" s="1"/>
      <c r="S902" s="1"/>
      <c r="T902" s="1"/>
      <c r="U902" s="1"/>
      <c r="V902" s="1"/>
      <c r="W902" s="1"/>
      <c r="X902" s="1"/>
      <c r="Y902" s="1"/>
    </row>
    <row r="903" customFormat="false" ht="15.75" hidden="false" customHeight="true" outlineLevel="0" collapsed="false">
      <c r="M903" s="1"/>
      <c r="N903" s="1"/>
      <c r="O903" s="1"/>
      <c r="P903" s="1"/>
      <c r="Q903" s="1"/>
      <c r="R903" s="1"/>
      <c r="S903" s="1"/>
      <c r="T903" s="1"/>
      <c r="U903" s="1"/>
      <c r="V903" s="1"/>
      <c r="W903" s="1"/>
      <c r="X903" s="1"/>
      <c r="Y903" s="1"/>
    </row>
    <row r="904" customFormat="false" ht="15.75" hidden="false" customHeight="true" outlineLevel="0" collapsed="false">
      <c r="M904" s="1"/>
      <c r="N904" s="1"/>
      <c r="O904" s="1"/>
      <c r="P904" s="1"/>
      <c r="Q904" s="1"/>
      <c r="R904" s="1"/>
      <c r="S904" s="1"/>
      <c r="T904" s="1"/>
      <c r="U904" s="1"/>
      <c r="V904" s="1"/>
      <c r="W904" s="1"/>
      <c r="X904" s="1"/>
      <c r="Y904" s="1"/>
    </row>
    <row r="905" customFormat="false" ht="15.75" hidden="false" customHeight="true" outlineLevel="0" collapsed="false">
      <c r="M905" s="1"/>
      <c r="N905" s="1"/>
      <c r="O905" s="1"/>
      <c r="P905" s="1"/>
      <c r="Q905" s="1"/>
      <c r="R905" s="1"/>
      <c r="S905" s="1"/>
      <c r="T905" s="1"/>
      <c r="U905" s="1"/>
      <c r="V905" s="1"/>
      <c r="W905" s="1"/>
      <c r="X905" s="1"/>
      <c r="Y905" s="1"/>
    </row>
    <row r="906" customFormat="false" ht="15.75" hidden="false" customHeight="true" outlineLevel="0" collapsed="false">
      <c r="M906" s="1"/>
      <c r="N906" s="1"/>
      <c r="O906" s="1"/>
      <c r="P906" s="1"/>
      <c r="Q906" s="1"/>
      <c r="R906" s="1"/>
      <c r="S906" s="1"/>
      <c r="T906" s="1"/>
      <c r="U906" s="1"/>
      <c r="V906" s="1"/>
      <c r="W906" s="1"/>
      <c r="X906" s="1"/>
      <c r="Y906" s="1"/>
    </row>
    <row r="907" customFormat="false" ht="15.75" hidden="false" customHeight="true" outlineLevel="0" collapsed="false">
      <c r="M907" s="1"/>
      <c r="N907" s="1"/>
      <c r="O907" s="1"/>
      <c r="P907" s="1"/>
      <c r="Q907" s="1"/>
      <c r="R907" s="1"/>
      <c r="S907" s="1"/>
      <c r="T907" s="1"/>
      <c r="U907" s="1"/>
      <c r="V907" s="1"/>
      <c r="W907" s="1"/>
      <c r="X907" s="1"/>
      <c r="Y907" s="1"/>
    </row>
    <row r="908" customFormat="false" ht="15.75" hidden="false" customHeight="true" outlineLevel="0" collapsed="false">
      <c r="M908" s="1"/>
      <c r="N908" s="1"/>
      <c r="O908" s="1"/>
      <c r="P908" s="1"/>
      <c r="Q908" s="1"/>
      <c r="R908" s="1"/>
      <c r="S908" s="1"/>
      <c r="T908" s="1"/>
      <c r="U908" s="1"/>
      <c r="V908" s="1"/>
      <c r="W908" s="1"/>
      <c r="X908" s="1"/>
      <c r="Y908" s="1"/>
    </row>
    <row r="909" customFormat="false" ht="15.75" hidden="false" customHeight="true" outlineLevel="0" collapsed="false">
      <c r="M909" s="1"/>
      <c r="N909" s="1"/>
      <c r="O909" s="1"/>
      <c r="P909" s="1"/>
      <c r="Q909" s="1"/>
      <c r="R909" s="1"/>
      <c r="S909" s="1"/>
      <c r="T909" s="1"/>
      <c r="U909" s="1"/>
      <c r="V909" s="1"/>
      <c r="W909" s="1"/>
      <c r="X909" s="1"/>
      <c r="Y909" s="1"/>
    </row>
    <row r="910" customFormat="false" ht="15.75" hidden="false" customHeight="true" outlineLevel="0" collapsed="false">
      <c r="M910" s="1"/>
      <c r="N910" s="1"/>
      <c r="O910" s="1"/>
      <c r="P910" s="1"/>
      <c r="Q910" s="1"/>
      <c r="R910" s="1"/>
      <c r="S910" s="1"/>
      <c r="T910" s="1"/>
      <c r="U910" s="1"/>
      <c r="V910" s="1"/>
      <c r="W910" s="1"/>
      <c r="X910" s="1"/>
      <c r="Y910" s="1"/>
    </row>
    <row r="911" customFormat="false" ht="15.75" hidden="false" customHeight="true" outlineLevel="0" collapsed="false">
      <c r="M911" s="1"/>
      <c r="N911" s="1"/>
      <c r="O911" s="1"/>
      <c r="P911" s="1"/>
      <c r="Q911" s="1"/>
      <c r="R911" s="1"/>
      <c r="S911" s="1"/>
      <c r="T911" s="1"/>
      <c r="U911" s="1"/>
      <c r="V911" s="1"/>
      <c r="W911" s="1"/>
      <c r="X911" s="1"/>
      <c r="Y911" s="1"/>
    </row>
    <row r="912" customFormat="false" ht="15.75" hidden="false" customHeight="true" outlineLevel="0" collapsed="false">
      <c r="M912" s="1"/>
      <c r="N912" s="1"/>
      <c r="O912" s="1"/>
      <c r="P912" s="1"/>
      <c r="Q912" s="1"/>
      <c r="R912" s="1"/>
      <c r="S912" s="1"/>
      <c r="T912" s="1"/>
      <c r="U912" s="1"/>
      <c r="V912" s="1"/>
      <c r="W912" s="1"/>
      <c r="X912" s="1"/>
      <c r="Y912" s="1"/>
    </row>
    <row r="913" customFormat="false" ht="15.75" hidden="false" customHeight="true" outlineLevel="0" collapsed="false">
      <c r="M913" s="1"/>
      <c r="N913" s="1"/>
      <c r="O913" s="1"/>
      <c r="P913" s="1"/>
      <c r="Q913" s="1"/>
      <c r="R913" s="1"/>
      <c r="S913" s="1"/>
      <c r="T913" s="1"/>
      <c r="U913" s="1"/>
      <c r="V913" s="1"/>
      <c r="W913" s="1"/>
      <c r="X913" s="1"/>
      <c r="Y913" s="1"/>
    </row>
    <row r="914" customFormat="false" ht="15.75" hidden="false" customHeight="true" outlineLevel="0" collapsed="false">
      <c r="M914" s="1"/>
      <c r="N914" s="1"/>
      <c r="O914" s="1"/>
      <c r="P914" s="1"/>
      <c r="Q914" s="1"/>
      <c r="R914" s="1"/>
      <c r="S914" s="1"/>
      <c r="T914" s="1"/>
      <c r="U914" s="1"/>
      <c r="V914" s="1"/>
      <c r="W914" s="1"/>
      <c r="X914" s="1"/>
      <c r="Y914" s="1"/>
    </row>
    <row r="915" customFormat="false" ht="15.75" hidden="false" customHeight="true" outlineLevel="0" collapsed="false">
      <c r="M915" s="1"/>
      <c r="N915" s="1"/>
      <c r="O915" s="1"/>
      <c r="P915" s="1"/>
      <c r="Q915" s="1"/>
      <c r="R915" s="1"/>
      <c r="S915" s="1"/>
      <c r="T915" s="1"/>
      <c r="U915" s="1"/>
      <c r="V915" s="1"/>
      <c r="W915" s="1"/>
      <c r="X915" s="1"/>
      <c r="Y915" s="1"/>
    </row>
    <row r="916" customFormat="false" ht="15.75" hidden="false" customHeight="true" outlineLevel="0" collapsed="false">
      <c r="M916" s="1"/>
      <c r="N916" s="1"/>
      <c r="O916" s="1"/>
      <c r="P916" s="1"/>
      <c r="Q916" s="1"/>
      <c r="R916" s="1"/>
      <c r="S916" s="1"/>
      <c r="T916" s="1"/>
      <c r="U916" s="1"/>
      <c r="V916" s="1"/>
      <c r="W916" s="1"/>
      <c r="X916" s="1"/>
      <c r="Y916" s="1"/>
    </row>
    <row r="917" customFormat="false" ht="15.75" hidden="false" customHeight="true" outlineLevel="0" collapsed="false">
      <c r="M917" s="1"/>
      <c r="N917" s="1"/>
      <c r="O917" s="1"/>
      <c r="P917" s="1"/>
      <c r="Q917" s="1"/>
      <c r="R917" s="1"/>
      <c r="S917" s="1"/>
      <c r="T917" s="1"/>
      <c r="U917" s="1"/>
      <c r="V917" s="1"/>
      <c r="W917" s="1"/>
      <c r="X917" s="1"/>
      <c r="Y917" s="1"/>
    </row>
    <row r="918" customFormat="false" ht="15.75" hidden="false" customHeight="true" outlineLevel="0" collapsed="false">
      <c r="M918" s="1"/>
      <c r="N918" s="1"/>
      <c r="O918" s="1"/>
      <c r="P918" s="1"/>
      <c r="Q918" s="1"/>
      <c r="R918" s="1"/>
      <c r="S918" s="1"/>
      <c r="T918" s="1"/>
      <c r="U918" s="1"/>
      <c r="V918" s="1"/>
      <c r="W918" s="1"/>
      <c r="X918" s="1"/>
      <c r="Y918" s="1"/>
    </row>
    <row r="919" customFormat="false" ht="15.75" hidden="false" customHeight="true" outlineLevel="0" collapsed="false">
      <c r="M919" s="1"/>
      <c r="N919" s="1"/>
      <c r="O919" s="1"/>
      <c r="P919" s="1"/>
      <c r="Q919" s="1"/>
      <c r="R919" s="1"/>
      <c r="S919" s="1"/>
      <c r="T919" s="1"/>
      <c r="U919" s="1"/>
      <c r="V919" s="1"/>
      <c r="W919" s="1"/>
      <c r="X919" s="1"/>
      <c r="Y919" s="1"/>
    </row>
    <row r="920" customFormat="false" ht="15.75" hidden="false" customHeight="true" outlineLevel="0" collapsed="false">
      <c r="M920" s="1"/>
      <c r="N920" s="1"/>
      <c r="O920" s="1"/>
      <c r="P920" s="1"/>
      <c r="Q920" s="1"/>
      <c r="R920" s="1"/>
      <c r="S920" s="1"/>
      <c r="T920" s="1"/>
      <c r="U920" s="1"/>
      <c r="V920" s="1"/>
      <c r="W920" s="1"/>
      <c r="X920" s="1"/>
      <c r="Y920" s="1"/>
    </row>
    <row r="921" customFormat="false" ht="15.75" hidden="false" customHeight="true" outlineLevel="0" collapsed="false">
      <c r="M921" s="1"/>
      <c r="N921" s="1"/>
      <c r="O921" s="1"/>
      <c r="P921" s="1"/>
      <c r="Q921" s="1"/>
      <c r="R921" s="1"/>
      <c r="S921" s="1"/>
      <c r="T921" s="1"/>
      <c r="U921" s="1"/>
      <c r="V921" s="1"/>
      <c r="W921" s="1"/>
      <c r="X921" s="1"/>
      <c r="Y921" s="1"/>
    </row>
    <row r="922" customFormat="false" ht="15.75" hidden="false" customHeight="true" outlineLevel="0" collapsed="false">
      <c r="M922" s="1"/>
      <c r="N922" s="1"/>
      <c r="O922" s="1"/>
      <c r="P922" s="1"/>
      <c r="Q922" s="1"/>
      <c r="R922" s="1"/>
      <c r="S922" s="1"/>
      <c r="T922" s="1"/>
      <c r="U922" s="1"/>
      <c r="V922" s="1"/>
      <c r="W922" s="1"/>
      <c r="X922" s="1"/>
      <c r="Y922" s="1"/>
    </row>
    <row r="923" customFormat="false" ht="15.75" hidden="false" customHeight="true" outlineLevel="0" collapsed="false">
      <c r="M923" s="1"/>
      <c r="N923" s="1"/>
      <c r="O923" s="1"/>
      <c r="P923" s="1"/>
      <c r="Q923" s="1"/>
      <c r="R923" s="1"/>
      <c r="S923" s="1"/>
      <c r="T923" s="1"/>
      <c r="U923" s="1"/>
      <c r="V923" s="1"/>
      <c r="W923" s="1"/>
      <c r="X923" s="1"/>
      <c r="Y923" s="1"/>
    </row>
    <row r="924" customFormat="false" ht="15.75" hidden="false" customHeight="true" outlineLevel="0" collapsed="false">
      <c r="M924" s="1"/>
      <c r="N924" s="1"/>
      <c r="O924" s="1"/>
      <c r="P924" s="1"/>
      <c r="Q924" s="1"/>
      <c r="R924" s="1"/>
      <c r="S924" s="1"/>
      <c r="T924" s="1"/>
      <c r="U924" s="1"/>
      <c r="V924" s="1"/>
      <c r="W924" s="1"/>
      <c r="X924" s="1"/>
      <c r="Y924" s="1"/>
    </row>
    <row r="925" customFormat="false" ht="15.75" hidden="false" customHeight="true" outlineLevel="0" collapsed="false">
      <c r="M925" s="1"/>
      <c r="N925" s="1"/>
      <c r="O925" s="1"/>
      <c r="P925" s="1"/>
      <c r="Q925" s="1"/>
      <c r="R925" s="1"/>
      <c r="S925" s="1"/>
      <c r="T925" s="1"/>
      <c r="U925" s="1"/>
      <c r="V925" s="1"/>
      <c r="W925" s="1"/>
      <c r="X925" s="1"/>
      <c r="Y925" s="1"/>
    </row>
    <row r="926" customFormat="false" ht="15.75" hidden="false" customHeight="true" outlineLevel="0" collapsed="false">
      <c r="M926" s="1"/>
      <c r="N926" s="1"/>
      <c r="O926" s="1"/>
      <c r="P926" s="1"/>
      <c r="Q926" s="1"/>
      <c r="R926" s="1"/>
      <c r="S926" s="1"/>
      <c r="T926" s="1"/>
      <c r="U926" s="1"/>
      <c r="V926" s="1"/>
      <c r="W926" s="1"/>
      <c r="X926" s="1"/>
      <c r="Y926" s="1"/>
    </row>
    <row r="927" customFormat="false" ht="15.75" hidden="false" customHeight="true" outlineLevel="0" collapsed="false">
      <c r="M927" s="1"/>
      <c r="N927" s="1"/>
      <c r="O927" s="1"/>
      <c r="P927" s="1"/>
      <c r="Q927" s="1"/>
      <c r="R927" s="1"/>
      <c r="S927" s="1"/>
      <c r="T927" s="1"/>
      <c r="U927" s="1"/>
      <c r="V927" s="1"/>
      <c r="W927" s="1"/>
      <c r="X927" s="1"/>
      <c r="Y927" s="1"/>
    </row>
    <row r="928" customFormat="false" ht="15.75" hidden="false" customHeight="true" outlineLevel="0" collapsed="false">
      <c r="M928" s="1"/>
      <c r="N928" s="1"/>
      <c r="O928" s="1"/>
      <c r="P928" s="1"/>
      <c r="Q928" s="1"/>
      <c r="R928" s="1"/>
      <c r="S928" s="1"/>
      <c r="T928" s="1"/>
      <c r="U928" s="1"/>
      <c r="V928" s="1"/>
      <c r="W928" s="1"/>
      <c r="X928" s="1"/>
      <c r="Y928" s="1"/>
    </row>
    <row r="929" customFormat="false" ht="15.75" hidden="false" customHeight="true" outlineLevel="0" collapsed="false">
      <c r="M929" s="1"/>
      <c r="N929" s="1"/>
      <c r="O929" s="1"/>
      <c r="P929" s="1"/>
      <c r="Q929" s="1"/>
      <c r="R929" s="1"/>
      <c r="S929" s="1"/>
      <c r="T929" s="1"/>
      <c r="U929" s="1"/>
      <c r="V929" s="1"/>
      <c r="W929" s="1"/>
      <c r="X929" s="1"/>
      <c r="Y929" s="1"/>
    </row>
    <row r="930" customFormat="false" ht="15.75" hidden="false" customHeight="true" outlineLevel="0" collapsed="false">
      <c r="M930" s="1"/>
      <c r="N930" s="1"/>
      <c r="O930" s="1"/>
      <c r="P930" s="1"/>
      <c r="Q930" s="1"/>
      <c r="R930" s="1"/>
      <c r="S930" s="1"/>
      <c r="T930" s="1"/>
      <c r="U930" s="1"/>
      <c r="V930" s="1"/>
      <c r="W930" s="1"/>
      <c r="X930" s="1"/>
      <c r="Y930" s="1"/>
    </row>
    <row r="931" customFormat="false" ht="15.75" hidden="false" customHeight="true" outlineLevel="0" collapsed="false">
      <c r="M931" s="1"/>
      <c r="N931" s="1"/>
      <c r="O931" s="1"/>
      <c r="P931" s="1"/>
      <c r="Q931" s="1"/>
      <c r="R931" s="1"/>
      <c r="S931" s="1"/>
      <c r="T931" s="1"/>
      <c r="U931" s="1"/>
      <c r="V931" s="1"/>
      <c r="W931" s="1"/>
      <c r="X931" s="1"/>
      <c r="Y931" s="1"/>
    </row>
    <row r="932" customFormat="false" ht="15.75" hidden="false" customHeight="true" outlineLevel="0" collapsed="false">
      <c r="M932" s="1"/>
      <c r="N932" s="1"/>
      <c r="O932" s="1"/>
      <c r="P932" s="1"/>
      <c r="Q932" s="1"/>
      <c r="R932" s="1"/>
      <c r="S932" s="1"/>
      <c r="T932" s="1"/>
      <c r="U932" s="1"/>
      <c r="V932" s="1"/>
      <c r="W932" s="1"/>
      <c r="X932" s="1"/>
      <c r="Y932" s="1"/>
    </row>
    <row r="933" customFormat="false" ht="15.75" hidden="false" customHeight="true" outlineLevel="0" collapsed="false">
      <c r="M933" s="1"/>
      <c r="N933" s="1"/>
      <c r="O933" s="1"/>
      <c r="P933" s="1"/>
      <c r="Q933" s="1"/>
      <c r="R933" s="1"/>
      <c r="S933" s="1"/>
      <c r="T933" s="1"/>
      <c r="U933" s="1"/>
      <c r="V933" s="1"/>
      <c r="W933" s="1"/>
      <c r="X933" s="1"/>
      <c r="Y933" s="1"/>
    </row>
    <row r="934" customFormat="false" ht="15.75" hidden="false" customHeight="true" outlineLevel="0" collapsed="false">
      <c r="M934" s="1"/>
      <c r="N934" s="1"/>
      <c r="O934" s="1"/>
      <c r="P934" s="1"/>
      <c r="Q934" s="1"/>
      <c r="R934" s="1"/>
      <c r="S934" s="1"/>
      <c r="T934" s="1"/>
      <c r="U934" s="1"/>
      <c r="V934" s="1"/>
      <c r="W934" s="1"/>
      <c r="X934" s="1"/>
      <c r="Y934" s="1"/>
    </row>
    <row r="935" customFormat="false" ht="15.75" hidden="false" customHeight="true" outlineLevel="0" collapsed="false">
      <c r="M935" s="1"/>
      <c r="N935" s="1"/>
      <c r="O935" s="1"/>
      <c r="P935" s="1"/>
      <c r="Q935" s="1"/>
      <c r="R935" s="1"/>
      <c r="S935" s="1"/>
      <c r="T935" s="1"/>
      <c r="U935" s="1"/>
      <c r="V935" s="1"/>
      <c r="W935" s="1"/>
      <c r="X935" s="1"/>
      <c r="Y935" s="1"/>
    </row>
    <row r="936" customFormat="false" ht="15.75" hidden="false" customHeight="true" outlineLevel="0" collapsed="false">
      <c r="M936" s="1"/>
      <c r="N936" s="1"/>
      <c r="O936" s="1"/>
      <c r="P936" s="1"/>
      <c r="Q936" s="1"/>
      <c r="R936" s="1"/>
      <c r="S936" s="1"/>
      <c r="T936" s="1"/>
      <c r="U936" s="1"/>
      <c r="V936" s="1"/>
      <c r="W936" s="1"/>
      <c r="X936" s="1"/>
      <c r="Y936" s="1"/>
    </row>
    <row r="937" customFormat="false" ht="15.75" hidden="false" customHeight="true" outlineLevel="0" collapsed="false">
      <c r="M937" s="1"/>
      <c r="N937" s="1"/>
      <c r="O937" s="1"/>
      <c r="P937" s="1"/>
      <c r="Q937" s="1"/>
      <c r="R937" s="1"/>
      <c r="S937" s="1"/>
      <c r="T937" s="1"/>
      <c r="U937" s="1"/>
      <c r="V937" s="1"/>
      <c r="W937" s="1"/>
      <c r="X937" s="1"/>
      <c r="Y937" s="1"/>
    </row>
    <row r="938" customFormat="false" ht="15.75" hidden="false" customHeight="true" outlineLevel="0" collapsed="false">
      <c r="M938" s="1"/>
      <c r="N938" s="1"/>
      <c r="O938" s="1"/>
      <c r="P938" s="1"/>
      <c r="Q938" s="1"/>
      <c r="R938" s="1"/>
      <c r="S938" s="1"/>
      <c r="T938" s="1"/>
      <c r="U938" s="1"/>
      <c r="V938" s="1"/>
      <c r="W938" s="1"/>
      <c r="X938" s="1"/>
      <c r="Y938" s="1"/>
    </row>
    <row r="939" customFormat="false" ht="15.75" hidden="false" customHeight="true" outlineLevel="0" collapsed="false">
      <c r="M939" s="1"/>
      <c r="N939" s="1"/>
      <c r="O939" s="1"/>
      <c r="P939" s="1"/>
      <c r="Q939" s="1"/>
      <c r="R939" s="1"/>
      <c r="S939" s="1"/>
      <c r="T939" s="1"/>
      <c r="U939" s="1"/>
      <c r="V939" s="1"/>
      <c r="W939" s="1"/>
      <c r="X939" s="1"/>
      <c r="Y939" s="1"/>
    </row>
    <row r="940" customFormat="false" ht="15.75" hidden="false" customHeight="true" outlineLevel="0" collapsed="false">
      <c r="M940" s="1"/>
      <c r="N940" s="1"/>
      <c r="O940" s="1"/>
      <c r="P940" s="1"/>
      <c r="Q940" s="1"/>
      <c r="R940" s="1"/>
      <c r="S940" s="1"/>
      <c r="T940" s="1"/>
      <c r="U940" s="1"/>
      <c r="V940" s="1"/>
      <c r="W940" s="1"/>
      <c r="X940" s="1"/>
      <c r="Y940" s="1"/>
    </row>
    <row r="941" customFormat="false" ht="15.75" hidden="false" customHeight="true" outlineLevel="0" collapsed="false">
      <c r="M941" s="1"/>
      <c r="N941" s="1"/>
      <c r="O941" s="1"/>
      <c r="P941" s="1"/>
      <c r="Q941" s="1"/>
      <c r="R941" s="1"/>
      <c r="S941" s="1"/>
      <c r="T941" s="1"/>
      <c r="U941" s="1"/>
      <c r="V941" s="1"/>
      <c r="W941" s="1"/>
      <c r="X941" s="1"/>
      <c r="Y941" s="1"/>
    </row>
    <row r="942" customFormat="false" ht="15.75" hidden="false" customHeight="true" outlineLevel="0" collapsed="false">
      <c r="M942" s="1"/>
      <c r="N942" s="1"/>
      <c r="O942" s="1"/>
      <c r="P942" s="1"/>
      <c r="Q942" s="1"/>
      <c r="R942" s="1"/>
      <c r="S942" s="1"/>
      <c r="T942" s="1"/>
      <c r="U942" s="1"/>
      <c r="V942" s="1"/>
      <c r="W942" s="1"/>
      <c r="X942" s="1"/>
      <c r="Y942" s="1"/>
    </row>
    <row r="943" customFormat="false" ht="15.75" hidden="false" customHeight="true" outlineLevel="0" collapsed="false">
      <c r="M943" s="1"/>
      <c r="N943" s="1"/>
      <c r="O943" s="1"/>
      <c r="P943" s="1"/>
      <c r="Q943" s="1"/>
      <c r="R943" s="1"/>
      <c r="S943" s="1"/>
      <c r="T943" s="1"/>
      <c r="U943" s="1"/>
      <c r="V943" s="1"/>
      <c r="W943" s="1"/>
      <c r="X943" s="1"/>
      <c r="Y943" s="1"/>
    </row>
    <row r="944" customFormat="false" ht="15.75" hidden="false" customHeight="true" outlineLevel="0" collapsed="false">
      <c r="M944" s="1"/>
      <c r="N944" s="1"/>
      <c r="O944" s="1"/>
      <c r="P944" s="1"/>
      <c r="Q944" s="1"/>
      <c r="R944" s="1"/>
      <c r="S944" s="1"/>
      <c r="T944" s="1"/>
      <c r="U944" s="1"/>
      <c r="V944" s="1"/>
      <c r="W944" s="1"/>
      <c r="X944" s="1"/>
      <c r="Y944" s="1"/>
    </row>
    <row r="945" customFormat="false" ht="15.75" hidden="false" customHeight="true" outlineLevel="0" collapsed="false">
      <c r="M945" s="1"/>
      <c r="N945" s="1"/>
      <c r="O945" s="1"/>
      <c r="P945" s="1"/>
      <c r="Q945" s="1"/>
      <c r="R945" s="1"/>
      <c r="S945" s="1"/>
      <c r="T945" s="1"/>
      <c r="U945" s="1"/>
      <c r="V945" s="1"/>
      <c r="W945" s="1"/>
      <c r="X945" s="1"/>
      <c r="Y945" s="1"/>
    </row>
    <row r="946" customFormat="false" ht="15.75" hidden="false" customHeight="true" outlineLevel="0" collapsed="false">
      <c r="M946" s="1"/>
      <c r="N946" s="1"/>
      <c r="O946" s="1"/>
      <c r="P946" s="1"/>
      <c r="Q946" s="1"/>
      <c r="R946" s="1"/>
      <c r="S946" s="1"/>
      <c r="T946" s="1"/>
      <c r="U946" s="1"/>
      <c r="V946" s="1"/>
      <c r="W946" s="1"/>
      <c r="X946" s="1"/>
      <c r="Y946" s="1"/>
    </row>
    <row r="947" customFormat="false" ht="15.75" hidden="false" customHeight="true" outlineLevel="0" collapsed="false">
      <c r="M947" s="1"/>
      <c r="N947" s="1"/>
      <c r="O947" s="1"/>
      <c r="P947" s="1"/>
      <c r="Q947" s="1"/>
      <c r="R947" s="1"/>
      <c r="S947" s="1"/>
      <c r="T947" s="1"/>
      <c r="U947" s="1"/>
      <c r="V947" s="1"/>
      <c r="W947" s="1"/>
      <c r="X947" s="1"/>
      <c r="Y947" s="1"/>
    </row>
    <row r="948" customFormat="false" ht="15.75" hidden="false" customHeight="true" outlineLevel="0" collapsed="false">
      <c r="M948" s="1"/>
      <c r="N948" s="1"/>
      <c r="O948" s="1"/>
      <c r="P948" s="1"/>
      <c r="Q948" s="1"/>
      <c r="R948" s="1"/>
      <c r="S948" s="1"/>
      <c r="T948" s="1"/>
      <c r="U948" s="1"/>
      <c r="V948" s="1"/>
      <c r="W948" s="1"/>
      <c r="X948" s="1"/>
      <c r="Y948" s="1"/>
    </row>
    <row r="949" customFormat="false" ht="15.75" hidden="false" customHeight="true" outlineLevel="0" collapsed="false">
      <c r="M949" s="1"/>
      <c r="N949" s="1"/>
      <c r="O949" s="1"/>
      <c r="P949" s="1"/>
      <c r="Q949" s="1"/>
      <c r="R949" s="1"/>
      <c r="S949" s="1"/>
      <c r="T949" s="1"/>
      <c r="U949" s="1"/>
      <c r="V949" s="1"/>
      <c r="W949" s="1"/>
      <c r="X949" s="1"/>
      <c r="Y949" s="1"/>
    </row>
    <row r="950" customFormat="false" ht="15.75" hidden="false" customHeight="true" outlineLevel="0" collapsed="false">
      <c r="M950" s="1"/>
      <c r="N950" s="1"/>
      <c r="O950" s="1"/>
      <c r="P950" s="1"/>
      <c r="Q950" s="1"/>
      <c r="R950" s="1"/>
      <c r="S950" s="1"/>
      <c r="T950" s="1"/>
      <c r="U950" s="1"/>
      <c r="V950" s="1"/>
      <c r="W950" s="1"/>
      <c r="X950" s="1"/>
      <c r="Y950" s="1"/>
    </row>
    <row r="951" customFormat="false" ht="15.75" hidden="false" customHeight="true" outlineLevel="0" collapsed="false">
      <c r="M951" s="1"/>
      <c r="N951" s="1"/>
      <c r="O951" s="1"/>
      <c r="P951" s="1"/>
      <c r="Q951" s="1"/>
      <c r="R951" s="1"/>
      <c r="S951" s="1"/>
      <c r="T951" s="1"/>
      <c r="U951" s="1"/>
      <c r="V951" s="1"/>
      <c r="W951" s="1"/>
      <c r="X951" s="1"/>
      <c r="Y951" s="1"/>
    </row>
    <row r="952" customFormat="false" ht="15.75" hidden="false" customHeight="true" outlineLevel="0" collapsed="false">
      <c r="M952" s="1"/>
      <c r="N952" s="1"/>
      <c r="O952" s="1"/>
      <c r="P952" s="1"/>
      <c r="Q952" s="1"/>
      <c r="R952" s="1"/>
      <c r="S952" s="1"/>
      <c r="T952" s="1"/>
      <c r="U952" s="1"/>
      <c r="V952" s="1"/>
      <c r="W952" s="1"/>
      <c r="X952" s="1"/>
      <c r="Y952" s="1"/>
    </row>
    <row r="953" customFormat="false" ht="15.75" hidden="false" customHeight="true" outlineLevel="0" collapsed="false">
      <c r="M953" s="1"/>
      <c r="N953" s="1"/>
      <c r="O953" s="1"/>
      <c r="P953" s="1"/>
      <c r="Q953" s="1"/>
      <c r="R953" s="1"/>
      <c r="S953" s="1"/>
      <c r="T953" s="1"/>
      <c r="U953" s="1"/>
      <c r="V953" s="1"/>
      <c r="W953" s="1"/>
      <c r="X953" s="1"/>
      <c r="Y953" s="1"/>
    </row>
    <row r="954" customFormat="false" ht="15.75" hidden="false" customHeight="true" outlineLevel="0" collapsed="false">
      <c r="M954" s="1"/>
      <c r="N954" s="1"/>
      <c r="O954" s="1"/>
      <c r="P954" s="1"/>
      <c r="Q954" s="1"/>
      <c r="R954" s="1"/>
      <c r="S954" s="1"/>
      <c r="T954" s="1"/>
      <c r="U954" s="1"/>
      <c r="V954" s="1"/>
      <c r="W954" s="1"/>
      <c r="X954" s="1"/>
      <c r="Y954" s="1"/>
    </row>
    <row r="955" customFormat="false" ht="15.75" hidden="false" customHeight="true" outlineLevel="0" collapsed="false">
      <c r="M955" s="1"/>
      <c r="N955" s="1"/>
      <c r="O955" s="1"/>
      <c r="P955" s="1"/>
      <c r="Q955" s="1"/>
      <c r="R955" s="1"/>
      <c r="S955" s="1"/>
      <c r="T955" s="1"/>
      <c r="U955" s="1"/>
      <c r="V955" s="1"/>
      <c r="W955" s="1"/>
      <c r="X955" s="1"/>
      <c r="Y955" s="1"/>
    </row>
    <row r="956" customFormat="false" ht="15.75" hidden="false" customHeight="true" outlineLevel="0" collapsed="false">
      <c r="M956" s="1"/>
      <c r="N956" s="1"/>
      <c r="O956" s="1"/>
      <c r="P956" s="1"/>
      <c r="Q956" s="1"/>
      <c r="R956" s="1"/>
      <c r="S956" s="1"/>
      <c r="T956" s="1"/>
      <c r="U956" s="1"/>
      <c r="V956" s="1"/>
      <c r="W956" s="1"/>
      <c r="X956" s="1"/>
      <c r="Y956" s="1"/>
    </row>
    <row r="957" customFormat="false" ht="15.75" hidden="false" customHeight="true" outlineLevel="0" collapsed="false">
      <c r="M957" s="1"/>
      <c r="N957" s="1"/>
      <c r="O957" s="1"/>
      <c r="P957" s="1"/>
      <c r="Q957" s="1"/>
      <c r="R957" s="1"/>
      <c r="S957" s="1"/>
      <c r="T957" s="1"/>
      <c r="U957" s="1"/>
      <c r="V957" s="1"/>
      <c r="W957" s="1"/>
      <c r="X957" s="1"/>
      <c r="Y957" s="1"/>
    </row>
    <row r="958" customFormat="false" ht="15.75" hidden="false" customHeight="true" outlineLevel="0" collapsed="false">
      <c r="M958" s="1"/>
      <c r="N958" s="1"/>
      <c r="O958" s="1"/>
      <c r="P958" s="1"/>
      <c r="Q958" s="1"/>
      <c r="R958" s="1"/>
      <c r="S958" s="1"/>
      <c r="T958" s="1"/>
      <c r="U958" s="1"/>
      <c r="V958" s="1"/>
      <c r="W958" s="1"/>
      <c r="X958" s="1"/>
      <c r="Y958" s="1"/>
    </row>
    <row r="959" customFormat="false" ht="15.75" hidden="false" customHeight="true" outlineLevel="0" collapsed="false">
      <c r="M959" s="1"/>
      <c r="N959" s="1"/>
      <c r="O959" s="1"/>
      <c r="P959" s="1"/>
      <c r="Q959" s="1"/>
      <c r="R959" s="1"/>
      <c r="S959" s="1"/>
      <c r="T959" s="1"/>
      <c r="U959" s="1"/>
      <c r="V959" s="1"/>
      <c r="W959" s="1"/>
      <c r="X959" s="1"/>
      <c r="Y959" s="1"/>
    </row>
    <row r="960" customFormat="false" ht="15.75" hidden="false" customHeight="true" outlineLevel="0" collapsed="false">
      <c r="M960" s="1"/>
      <c r="N960" s="1"/>
      <c r="O960" s="1"/>
      <c r="P960" s="1"/>
      <c r="Q960" s="1"/>
      <c r="R960" s="1"/>
      <c r="S960" s="1"/>
      <c r="T960" s="1"/>
      <c r="U960" s="1"/>
      <c r="V960" s="1"/>
      <c r="W960" s="1"/>
      <c r="X960" s="1"/>
      <c r="Y960" s="1"/>
    </row>
    <row r="961" customFormat="false" ht="15.75" hidden="false" customHeight="true" outlineLevel="0" collapsed="false">
      <c r="M961" s="1"/>
      <c r="N961" s="1"/>
      <c r="O961" s="1"/>
      <c r="P961" s="1"/>
      <c r="Q961" s="1"/>
      <c r="R961" s="1"/>
      <c r="S961" s="1"/>
      <c r="T961" s="1"/>
      <c r="U961" s="1"/>
      <c r="V961" s="1"/>
      <c r="W961" s="1"/>
      <c r="X961" s="1"/>
      <c r="Y961" s="1"/>
    </row>
    <row r="962" customFormat="false" ht="15.75" hidden="false" customHeight="true" outlineLevel="0" collapsed="false">
      <c r="M962" s="1"/>
      <c r="N962" s="1"/>
      <c r="O962" s="1"/>
      <c r="P962" s="1"/>
      <c r="Q962" s="1"/>
      <c r="R962" s="1"/>
      <c r="S962" s="1"/>
      <c r="T962" s="1"/>
      <c r="U962" s="1"/>
      <c r="V962" s="1"/>
      <c r="W962" s="1"/>
      <c r="X962" s="1"/>
      <c r="Y962" s="1"/>
    </row>
    <row r="963" customFormat="false" ht="15.75" hidden="false" customHeight="true" outlineLevel="0" collapsed="false">
      <c r="M963" s="1"/>
      <c r="N963" s="1"/>
      <c r="O963" s="1"/>
      <c r="P963" s="1"/>
      <c r="Q963" s="1"/>
      <c r="R963" s="1"/>
      <c r="S963" s="1"/>
      <c r="T963" s="1"/>
      <c r="U963" s="1"/>
      <c r="V963" s="1"/>
      <c r="W963" s="1"/>
      <c r="X963" s="1"/>
      <c r="Y963" s="1"/>
    </row>
    <row r="964" customFormat="false" ht="15.75" hidden="false" customHeight="true" outlineLevel="0" collapsed="false">
      <c r="M964" s="1"/>
      <c r="N964" s="1"/>
      <c r="O964" s="1"/>
      <c r="P964" s="1"/>
      <c r="Q964" s="1"/>
      <c r="R964" s="1"/>
      <c r="S964" s="1"/>
      <c r="T964" s="1"/>
      <c r="U964" s="1"/>
      <c r="V964" s="1"/>
      <c r="W964" s="1"/>
      <c r="X964" s="1"/>
      <c r="Y964" s="1"/>
    </row>
    <row r="965" customFormat="false" ht="15.75" hidden="false" customHeight="true" outlineLevel="0" collapsed="false">
      <c r="M965" s="1"/>
      <c r="N965" s="1"/>
      <c r="O965" s="1"/>
      <c r="P965" s="1"/>
      <c r="Q965" s="1"/>
      <c r="R965" s="1"/>
      <c r="S965" s="1"/>
      <c r="T965" s="1"/>
      <c r="U965" s="1"/>
      <c r="V965" s="1"/>
      <c r="W965" s="1"/>
      <c r="X965" s="1"/>
      <c r="Y965" s="1"/>
    </row>
    <row r="966" customFormat="false" ht="15.75" hidden="false" customHeight="true" outlineLevel="0" collapsed="false">
      <c r="M966" s="1"/>
      <c r="N966" s="1"/>
      <c r="O966" s="1"/>
      <c r="P966" s="1"/>
      <c r="Q966" s="1"/>
      <c r="R966" s="1"/>
      <c r="S966" s="1"/>
      <c r="T966" s="1"/>
      <c r="U966" s="1"/>
      <c r="V966" s="1"/>
      <c r="W966" s="1"/>
      <c r="X966" s="1"/>
      <c r="Y966" s="1"/>
    </row>
    <row r="967" customFormat="false" ht="15.75" hidden="false" customHeight="true" outlineLevel="0" collapsed="false">
      <c r="M967" s="1"/>
      <c r="N967" s="1"/>
      <c r="O967" s="1"/>
      <c r="P967" s="1"/>
      <c r="Q967" s="1"/>
      <c r="R967" s="1"/>
      <c r="S967" s="1"/>
      <c r="T967" s="1"/>
      <c r="U967" s="1"/>
      <c r="V967" s="1"/>
      <c r="W967" s="1"/>
      <c r="X967" s="1"/>
      <c r="Y967" s="1"/>
    </row>
    <row r="968" customFormat="false" ht="15.75" hidden="false" customHeight="true" outlineLevel="0" collapsed="false">
      <c r="M968" s="1"/>
      <c r="N968" s="1"/>
      <c r="O968" s="1"/>
      <c r="P968" s="1"/>
      <c r="Q968" s="1"/>
      <c r="R968" s="1"/>
      <c r="S968" s="1"/>
      <c r="T968" s="1"/>
      <c r="U968" s="1"/>
      <c r="V968" s="1"/>
      <c r="W968" s="1"/>
      <c r="X968" s="1"/>
      <c r="Y968" s="1"/>
    </row>
    <row r="969" customFormat="false" ht="15.75" hidden="false" customHeight="true" outlineLevel="0" collapsed="false">
      <c r="M969" s="1"/>
      <c r="N969" s="1"/>
      <c r="O969" s="1"/>
      <c r="P969" s="1"/>
      <c r="Q969" s="1"/>
      <c r="R969" s="1"/>
      <c r="S969" s="1"/>
      <c r="T969" s="1"/>
      <c r="U969" s="1"/>
      <c r="V969" s="1"/>
      <c r="W969" s="1"/>
      <c r="X969" s="1"/>
      <c r="Y969" s="1"/>
    </row>
    <row r="970" customFormat="false" ht="15.75" hidden="false" customHeight="true" outlineLevel="0" collapsed="false">
      <c r="M970" s="1"/>
      <c r="N970" s="1"/>
      <c r="O970" s="1"/>
      <c r="P970" s="1"/>
      <c r="Q970" s="1"/>
      <c r="R970" s="1"/>
      <c r="S970" s="1"/>
      <c r="T970" s="1"/>
      <c r="U970" s="1"/>
      <c r="V970" s="1"/>
      <c r="W970" s="1"/>
      <c r="X970" s="1"/>
      <c r="Y970" s="1"/>
    </row>
    <row r="971" customFormat="false" ht="15.75" hidden="false" customHeight="true" outlineLevel="0" collapsed="false">
      <c r="M971" s="1"/>
      <c r="N971" s="1"/>
      <c r="O971" s="1"/>
      <c r="P971" s="1"/>
      <c r="Q971" s="1"/>
      <c r="R971" s="1"/>
      <c r="S971" s="1"/>
      <c r="T971" s="1"/>
      <c r="U971" s="1"/>
      <c r="V971" s="1"/>
      <c r="W971" s="1"/>
      <c r="X971" s="1"/>
      <c r="Y971" s="1"/>
    </row>
    <row r="972" customFormat="false" ht="15.75" hidden="false" customHeight="true" outlineLevel="0" collapsed="false">
      <c r="M972" s="1"/>
      <c r="N972" s="1"/>
      <c r="O972" s="1"/>
      <c r="P972" s="1"/>
      <c r="Q972" s="1"/>
      <c r="R972" s="1"/>
      <c r="S972" s="1"/>
      <c r="T972" s="1"/>
      <c r="U972" s="1"/>
      <c r="V972" s="1"/>
      <c r="W972" s="1"/>
      <c r="X972" s="1"/>
      <c r="Y972" s="1"/>
    </row>
    <row r="973" customFormat="false" ht="15.75" hidden="false" customHeight="true" outlineLevel="0" collapsed="false">
      <c r="M973" s="1"/>
      <c r="N973" s="1"/>
      <c r="O973" s="1"/>
      <c r="P973" s="1"/>
      <c r="Q973" s="1"/>
      <c r="R973" s="1"/>
      <c r="S973" s="1"/>
      <c r="T973" s="1"/>
      <c r="U973" s="1"/>
      <c r="V973" s="1"/>
      <c r="W973" s="1"/>
      <c r="X973" s="1"/>
      <c r="Y973" s="1"/>
    </row>
    <row r="974" customFormat="false" ht="15.75" hidden="false" customHeight="true" outlineLevel="0" collapsed="false">
      <c r="M974" s="1"/>
      <c r="N974" s="1"/>
      <c r="O974" s="1"/>
      <c r="P974" s="1"/>
      <c r="Q974" s="1"/>
      <c r="R974" s="1"/>
      <c r="S974" s="1"/>
      <c r="T974" s="1"/>
      <c r="U974" s="1"/>
      <c r="V974" s="1"/>
      <c r="W974" s="1"/>
      <c r="X974" s="1"/>
      <c r="Y974" s="1"/>
    </row>
    <row r="975" customFormat="false" ht="15.75" hidden="false" customHeight="true" outlineLevel="0" collapsed="false">
      <c r="M975" s="1"/>
      <c r="N975" s="1"/>
      <c r="O975" s="1"/>
      <c r="P975" s="1"/>
      <c r="Q975" s="1"/>
      <c r="R975" s="1"/>
      <c r="S975" s="1"/>
      <c r="T975" s="1"/>
      <c r="U975" s="1"/>
      <c r="V975" s="1"/>
      <c r="W975" s="1"/>
      <c r="X975" s="1"/>
      <c r="Y975" s="1"/>
    </row>
    <row r="976" customFormat="false" ht="15.75" hidden="false" customHeight="true" outlineLevel="0" collapsed="false">
      <c r="M976" s="1"/>
      <c r="N976" s="1"/>
      <c r="O976" s="1"/>
      <c r="P976" s="1"/>
      <c r="Q976" s="1"/>
      <c r="R976" s="1"/>
      <c r="S976" s="1"/>
      <c r="T976" s="1"/>
      <c r="U976" s="1"/>
      <c r="V976" s="1"/>
      <c r="W976" s="1"/>
      <c r="X976" s="1"/>
      <c r="Y976" s="1"/>
    </row>
    <row r="977" customFormat="false" ht="15.75" hidden="false" customHeight="true" outlineLevel="0" collapsed="false">
      <c r="M977" s="1"/>
      <c r="N977" s="1"/>
      <c r="O977" s="1"/>
      <c r="P977" s="1"/>
      <c r="Q977" s="1"/>
      <c r="R977" s="1"/>
      <c r="S977" s="1"/>
      <c r="T977" s="1"/>
      <c r="U977" s="1"/>
      <c r="V977" s="1"/>
      <c r="W977" s="1"/>
      <c r="X977" s="1"/>
      <c r="Y977" s="1"/>
    </row>
    <row r="978" customFormat="false" ht="15.75" hidden="false" customHeight="true" outlineLevel="0" collapsed="false">
      <c r="M978" s="1"/>
      <c r="N978" s="1"/>
      <c r="O978" s="1"/>
      <c r="P978" s="1"/>
      <c r="Q978" s="1"/>
      <c r="R978" s="1"/>
      <c r="S978" s="1"/>
      <c r="T978" s="1"/>
      <c r="U978" s="1"/>
      <c r="V978" s="1"/>
      <c r="W978" s="1"/>
      <c r="X978" s="1"/>
      <c r="Y978" s="1"/>
    </row>
    <row r="979" customFormat="false" ht="15.75" hidden="false" customHeight="true" outlineLevel="0" collapsed="false">
      <c r="M979" s="1"/>
      <c r="N979" s="1"/>
      <c r="O979" s="1"/>
      <c r="P979" s="1"/>
      <c r="Q979" s="1"/>
      <c r="R979" s="1"/>
      <c r="S979" s="1"/>
      <c r="T979" s="1"/>
      <c r="U979" s="1"/>
      <c r="V979" s="1"/>
      <c r="W979" s="1"/>
      <c r="X979" s="1"/>
      <c r="Y979" s="1"/>
    </row>
    <row r="980" customFormat="false" ht="15.75" hidden="false" customHeight="true" outlineLevel="0" collapsed="false">
      <c r="M980" s="1"/>
      <c r="N980" s="1"/>
      <c r="O980" s="1"/>
      <c r="P980" s="1"/>
      <c r="Q980" s="1"/>
      <c r="R980" s="1"/>
      <c r="S980" s="1"/>
      <c r="T980" s="1"/>
      <c r="U980" s="1"/>
      <c r="V980" s="1"/>
      <c r="W980" s="1"/>
      <c r="X980" s="1"/>
      <c r="Y980" s="1"/>
    </row>
    <row r="981" customFormat="false" ht="15.75" hidden="false" customHeight="true" outlineLevel="0" collapsed="false">
      <c r="M981" s="1"/>
      <c r="N981" s="1"/>
      <c r="O981" s="1"/>
      <c r="P981" s="1"/>
      <c r="Q981" s="1"/>
      <c r="R981" s="1"/>
      <c r="S981" s="1"/>
      <c r="T981" s="1"/>
      <c r="U981" s="1"/>
      <c r="V981" s="1"/>
      <c r="W981" s="1"/>
      <c r="X981" s="1"/>
      <c r="Y981" s="1"/>
    </row>
    <row r="982" customFormat="false" ht="15.75" hidden="false" customHeight="true" outlineLevel="0" collapsed="false">
      <c r="M982" s="1"/>
      <c r="N982" s="1"/>
      <c r="O982" s="1"/>
      <c r="P982" s="1"/>
      <c r="Q982" s="1"/>
      <c r="R982" s="1"/>
      <c r="S982" s="1"/>
      <c r="T982" s="1"/>
      <c r="U982" s="1"/>
      <c r="V982" s="1"/>
      <c r="W982" s="1"/>
      <c r="X982" s="1"/>
      <c r="Y982" s="1"/>
    </row>
    <row r="983" customFormat="false" ht="15.75" hidden="false" customHeight="true" outlineLevel="0" collapsed="false">
      <c r="M983" s="1"/>
      <c r="N983" s="1"/>
      <c r="O983" s="1"/>
      <c r="P983" s="1"/>
      <c r="Q983" s="1"/>
      <c r="R983" s="1"/>
      <c r="S983" s="1"/>
      <c r="T983" s="1"/>
      <c r="U983" s="1"/>
      <c r="V983" s="1"/>
      <c r="W983" s="1"/>
      <c r="X983" s="1"/>
      <c r="Y983" s="1"/>
    </row>
    <row r="984" customFormat="false" ht="15.75" hidden="false" customHeight="true" outlineLevel="0" collapsed="false">
      <c r="M984" s="1"/>
      <c r="N984" s="1"/>
      <c r="O984" s="1"/>
      <c r="P984" s="1"/>
      <c r="Q984" s="1"/>
      <c r="R984" s="1"/>
      <c r="S984" s="1"/>
      <c r="T984" s="1"/>
      <c r="U984" s="1"/>
      <c r="V984" s="1"/>
      <c r="W984" s="1"/>
      <c r="X984" s="1"/>
      <c r="Y984" s="1"/>
    </row>
    <row r="985" customFormat="false" ht="15.75" hidden="false" customHeight="true" outlineLevel="0" collapsed="false">
      <c r="M985" s="1"/>
      <c r="N985" s="1"/>
      <c r="O985" s="1"/>
      <c r="P985" s="1"/>
      <c r="Q985" s="1"/>
      <c r="R985" s="1"/>
      <c r="S985" s="1"/>
      <c r="T985" s="1"/>
      <c r="U985" s="1"/>
      <c r="V985" s="1"/>
      <c r="W985" s="1"/>
      <c r="X985" s="1"/>
      <c r="Y985" s="1"/>
    </row>
    <row r="986" customFormat="false" ht="15.75" hidden="false" customHeight="true" outlineLevel="0" collapsed="false">
      <c r="M986" s="1"/>
      <c r="N986" s="1"/>
      <c r="O986" s="1"/>
      <c r="P986" s="1"/>
      <c r="Q986" s="1"/>
      <c r="R986" s="1"/>
      <c r="S986" s="1"/>
      <c r="T986" s="1"/>
      <c r="U986" s="1"/>
      <c r="V986" s="1"/>
      <c r="W986" s="1"/>
      <c r="X986" s="1"/>
      <c r="Y986" s="1"/>
    </row>
    <row r="987" customFormat="false" ht="15.75" hidden="false" customHeight="true" outlineLevel="0" collapsed="false">
      <c r="M987" s="1"/>
      <c r="N987" s="1"/>
      <c r="O987" s="1"/>
      <c r="P987" s="1"/>
      <c r="Q987" s="1"/>
      <c r="R987" s="1"/>
      <c r="S987" s="1"/>
      <c r="T987" s="1"/>
      <c r="U987" s="1"/>
      <c r="V987" s="1"/>
      <c r="W987" s="1"/>
      <c r="X987" s="1"/>
      <c r="Y987" s="1"/>
    </row>
    <row r="988" customFormat="false" ht="15.75" hidden="false" customHeight="true" outlineLevel="0" collapsed="false">
      <c r="M988" s="1"/>
      <c r="N988" s="1"/>
      <c r="O988" s="1"/>
      <c r="P988" s="1"/>
      <c r="Q988" s="1"/>
      <c r="R988" s="1"/>
      <c r="S988" s="1"/>
      <c r="T988" s="1"/>
      <c r="U988" s="1"/>
      <c r="V988" s="1"/>
      <c r="W988" s="1"/>
      <c r="X988" s="1"/>
      <c r="Y988" s="1"/>
    </row>
    <row r="989" customFormat="false" ht="15.75" hidden="false" customHeight="true" outlineLevel="0" collapsed="false">
      <c r="M989" s="1"/>
      <c r="N989" s="1"/>
      <c r="O989" s="1"/>
      <c r="P989" s="1"/>
      <c r="Q989" s="1"/>
      <c r="R989" s="1"/>
      <c r="S989" s="1"/>
      <c r="T989" s="1"/>
      <c r="U989" s="1"/>
      <c r="V989" s="1"/>
      <c r="W989" s="1"/>
      <c r="X989" s="1"/>
      <c r="Y989" s="1"/>
    </row>
    <row r="990" customFormat="false" ht="15.75" hidden="false" customHeight="true" outlineLevel="0" collapsed="false">
      <c r="M990" s="1"/>
      <c r="N990" s="1"/>
      <c r="O990" s="1"/>
      <c r="P990" s="1"/>
      <c r="Q990" s="1"/>
      <c r="R990" s="1"/>
      <c r="S990" s="1"/>
      <c r="T990" s="1"/>
      <c r="U990" s="1"/>
      <c r="V990" s="1"/>
      <c r="W990" s="1"/>
      <c r="X990" s="1"/>
      <c r="Y990" s="1"/>
    </row>
    <row r="991" customFormat="false" ht="15.75" hidden="false" customHeight="true" outlineLevel="0" collapsed="false">
      <c r="M991" s="1"/>
      <c r="N991" s="1"/>
      <c r="O991" s="1"/>
      <c r="P991" s="1"/>
      <c r="Q991" s="1"/>
      <c r="R991" s="1"/>
      <c r="S991" s="1"/>
      <c r="T991" s="1"/>
      <c r="U991" s="1"/>
      <c r="V991" s="1"/>
      <c r="W991" s="1"/>
      <c r="X991" s="1"/>
      <c r="Y991" s="1"/>
    </row>
    <row r="992" customFormat="false" ht="15.75" hidden="false" customHeight="true" outlineLevel="0" collapsed="false">
      <c r="M992" s="1"/>
      <c r="N992" s="1"/>
      <c r="O992" s="1"/>
      <c r="P992" s="1"/>
      <c r="Q992" s="1"/>
      <c r="R992" s="1"/>
      <c r="S992" s="1"/>
      <c r="T992" s="1"/>
      <c r="U992" s="1"/>
      <c r="V992" s="1"/>
      <c r="W992" s="1"/>
      <c r="X992" s="1"/>
      <c r="Y992" s="1"/>
    </row>
    <row r="993" customFormat="false" ht="15.75" hidden="false" customHeight="true" outlineLevel="0" collapsed="false">
      <c r="M993" s="1"/>
      <c r="N993" s="1"/>
      <c r="O993" s="1"/>
      <c r="P993" s="1"/>
      <c r="Q993" s="1"/>
      <c r="R993" s="1"/>
      <c r="S993" s="1"/>
      <c r="T993" s="1"/>
      <c r="U993" s="1"/>
      <c r="V993" s="1"/>
      <c r="W993" s="1"/>
      <c r="X993" s="1"/>
      <c r="Y993" s="1"/>
    </row>
    <row r="994" customFormat="false" ht="15.75" hidden="false" customHeight="true" outlineLevel="0" collapsed="false">
      <c r="M994" s="1"/>
      <c r="N994" s="1"/>
      <c r="O994" s="1"/>
      <c r="P994" s="1"/>
      <c r="Q994" s="1"/>
      <c r="R994" s="1"/>
      <c r="S994" s="1"/>
      <c r="T994" s="1"/>
      <c r="U994" s="1"/>
      <c r="V994" s="1"/>
      <c r="W994" s="1"/>
      <c r="X994" s="1"/>
      <c r="Y994" s="1"/>
    </row>
    <row r="995" customFormat="false" ht="15.75" hidden="false" customHeight="true" outlineLevel="0" collapsed="false">
      <c r="M995" s="1"/>
      <c r="N995" s="1"/>
      <c r="O995" s="1"/>
      <c r="P995" s="1"/>
      <c r="Q995" s="1"/>
      <c r="R995" s="1"/>
      <c r="S995" s="1"/>
      <c r="T995" s="1"/>
      <c r="U995" s="1"/>
      <c r="V995" s="1"/>
      <c r="W995" s="1"/>
      <c r="X995" s="1"/>
      <c r="Y995" s="1"/>
    </row>
    <row r="996" customFormat="false" ht="15.75" hidden="false" customHeight="true" outlineLevel="0" collapsed="false">
      <c r="M996" s="1"/>
      <c r="N996" s="1"/>
      <c r="O996" s="1"/>
      <c r="P996" s="1"/>
      <c r="Q996" s="1"/>
      <c r="R996" s="1"/>
      <c r="S996" s="1"/>
      <c r="T996" s="1"/>
      <c r="U996" s="1"/>
      <c r="V996" s="1"/>
      <c r="W996" s="1"/>
      <c r="X996" s="1"/>
      <c r="Y996" s="1"/>
    </row>
    <row r="997" customFormat="false" ht="15.75" hidden="false" customHeight="true" outlineLevel="0" collapsed="false">
      <c r="M997" s="1"/>
      <c r="N997" s="1"/>
      <c r="O997" s="1"/>
      <c r="P997" s="1"/>
      <c r="Q997" s="1"/>
      <c r="R997" s="1"/>
      <c r="S997" s="1"/>
      <c r="T997" s="1"/>
      <c r="U997" s="1"/>
      <c r="V997" s="1"/>
      <c r="W997" s="1"/>
      <c r="X997" s="1"/>
      <c r="Y997" s="1"/>
    </row>
    <row r="998" customFormat="false" ht="15.75" hidden="false" customHeight="true" outlineLevel="0" collapsed="false">
      <c r="M998" s="1"/>
      <c r="N998" s="1"/>
      <c r="O998" s="1"/>
      <c r="P998" s="1"/>
      <c r="Q998" s="1"/>
      <c r="R998" s="1"/>
      <c r="S998" s="1"/>
      <c r="T998" s="1"/>
      <c r="U998" s="1"/>
      <c r="V998" s="1"/>
      <c r="W998" s="1"/>
      <c r="X998" s="1"/>
      <c r="Y998" s="1"/>
    </row>
    <row r="999" customFormat="false" ht="15.75" hidden="false" customHeight="true" outlineLevel="0" collapsed="false">
      <c r="M999" s="1"/>
      <c r="N999" s="1"/>
      <c r="O999" s="1"/>
      <c r="P999" s="1"/>
      <c r="Q999" s="1"/>
      <c r="R999" s="1"/>
      <c r="S999" s="1"/>
      <c r="T999" s="1"/>
      <c r="U999" s="1"/>
      <c r="V999" s="1"/>
      <c r="W999" s="1"/>
      <c r="X999" s="1"/>
      <c r="Y999" s="1"/>
    </row>
    <row r="1000" customFormat="false" ht="15.75" hidden="false" customHeight="true" outlineLevel="0" collapsed="false">
      <c r="M1000" s="1"/>
      <c r="N1000" s="1"/>
      <c r="O1000" s="1"/>
      <c r="P1000" s="1"/>
      <c r="Q1000" s="1"/>
      <c r="R1000" s="1"/>
      <c r="S1000" s="1"/>
      <c r="T1000" s="1"/>
      <c r="U1000" s="1"/>
      <c r="V1000" s="1"/>
      <c r="W1000" s="1"/>
      <c r="X1000" s="1"/>
      <c r="Y1000" s="1"/>
    </row>
  </sheetData>
  <autoFilter ref="A3:L49"/>
  <mergeCells count="13">
    <mergeCell ref="A1:L1"/>
    <mergeCell ref="A2:L2"/>
    <mergeCell ref="A55:L55"/>
    <mergeCell ref="A56:L56"/>
    <mergeCell ref="A57:L57"/>
    <mergeCell ref="A58:L58"/>
    <mergeCell ref="A59:L59"/>
    <mergeCell ref="A60:L60"/>
    <mergeCell ref="A61:L61"/>
    <mergeCell ref="A62:L62"/>
    <mergeCell ref="A63:L63"/>
    <mergeCell ref="A64:L64"/>
    <mergeCell ref="A65:L6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5"/>
    <col collapsed="false" customWidth="true" hidden="false" outlineLevel="0" max="2" min="2" style="1" width="40"/>
    <col collapsed="false" customWidth="true" hidden="false" outlineLevel="0" max="4" min="3" style="1" width="14"/>
    <col collapsed="false" customWidth="true" hidden="false" outlineLevel="0" max="6" min="5" style="1" width="16"/>
  </cols>
  <sheetData>
    <row r="1" customFormat="false" ht="39.75" hidden="false" customHeight="true" outlineLevel="0" collapsed="false">
      <c r="A1" s="47" t="s">
        <v>170</v>
      </c>
      <c r="B1" s="47"/>
      <c r="C1" s="47"/>
      <c r="D1" s="47"/>
      <c r="E1" s="47"/>
      <c r="F1" s="47"/>
      <c r="G1" s="1"/>
      <c r="H1" s="1"/>
      <c r="I1" s="1"/>
      <c r="J1" s="1"/>
      <c r="K1" s="1"/>
      <c r="L1" s="1"/>
      <c r="M1" s="1"/>
      <c r="N1" s="1"/>
      <c r="O1" s="1"/>
      <c r="P1" s="1"/>
      <c r="Q1" s="1"/>
      <c r="R1" s="1"/>
      <c r="S1" s="1"/>
      <c r="T1" s="1"/>
      <c r="U1" s="1"/>
      <c r="V1" s="1"/>
      <c r="W1" s="1"/>
      <c r="X1" s="1"/>
      <c r="Y1" s="1"/>
      <c r="Z1" s="1"/>
    </row>
    <row r="2" customFormat="false" ht="19.5" hidden="false" customHeight="true" outlineLevel="0" collapsed="false">
      <c r="A2" s="20" t="s">
        <v>54</v>
      </c>
      <c r="B2" s="20"/>
      <c r="C2" s="20"/>
      <c r="D2" s="20"/>
      <c r="E2" s="20"/>
      <c r="F2" s="20"/>
      <c r="G2" s="1"/>
      <c r="H2" s="1"/>
      <c r="I2" s="1"/>
      <c r="J2" s="1"/>
      <c r="K2" s="1"/>
      <c r="L2" s="1"/>
      <c r="M2" s="1"/>
      <c r="N2" s="1"/>
      <c r="O2" s="1"/>
      <c r="P2" s="1"/>
      <c r="Q2" s="1"/>
      <c r="R2" s="1"/>
      <c r="S2" s="1"/>
      <c r="T2" s="1"/>
      <c r="U2" s="1"/>
      <c r="V2" s="1"/>
      <c r="W2" s="1"/>
      <c r="X2" s="1"/>
      <c r="Y2" s="1"/>
      <c r="Z2" s="1"/>
    </row>
    <row r="3" customFormat="false" ht="26.25" hidden="false" customHeight="true" outlineLevel="0" collapsed="false">
      <c r="A3" s="48" t="s">
        <v>55</v>
      </c>
      <c r="B3" s="48" t="s">
        <v>56</v>
      </c>
      <c r="C3" s="48" t="s">
        <v>171</v>
      </c>
      <c r="D3" s="48" t="s">
        <v>172</v>
      </c>
      <c r="E3" s="48" t="s">
        <v>173</v>
      </c>
      <c r="F3" s="48" t="s">
        <v>174</v>
      </c>
      <c r="G3" s="1"/>
      <c r="H3" s="1"/>
      <c r="I3" s="1"/>
      <c r="J3" s="1"/>
      <c r="K3" s="1"/>
      <c r="L3" s="1"/>
      <c r="M3" s="1"/>
      <c r="N3" s="1"/>
      <c r="O3" s="1"/>
      <c r="P3" s="1"/>
      <c r="Q3" s="1"/>
      <c r="R3" s="1"/>
      <c r="S3" s="1"/>
      <c r="T3" s="1"/>
      <c r="U3" s="1"/>
      <c r="V3" s="1"/>
      <c r="W3" s="1"/>
      <c r="X3" s="1"/>
      <c r="Y3" s="1"/>
      <c r="Z3" s="1"/>
    </row>
    <row r="4" customFormat="false" ht="15" hidden="false" customHeight="true" outlineLevel="0" collapsed="false">
      <c r="A4" s="49" t="n">
        <v>1</v>
      </c>
      <c r="B4" s="50" t="s">
        <v>76</v>
      </c>
      <c r="C4" s="51" t="n">
        <v>10</v>
      </c>
      <c r="D4" s="51" t="n">
        <v>10</v>
      </c>
      <c r="E4" s="52" t="n">
        <f aca="false">C4/D4</f>
        <v>1</v>
      </c>
      <c r="F4" s="51" t="s">
        <v>77</v>
      </c>
      <c r="G4" s="1"/>
      <c r="H4" s="1"/>
      <c r="I4" s="1"/>
      <c r="J4" s="1"/>
      <c r="K4" s="1"/>
      <c r="L4" s="1"/>
      <c r="M4" s="1"/>
      <c r="N4" s="1"/>
      <c r="O4" s="1"/>
      <c r="P4" s="1"/>
      <c r="Q4" s="1"/>
      <c r="R4" s="1"/>
      <c r="S4" s="1"/>
      <c r="T4" s="1"/>
      <c r="U4" s="1"/>
      <c r="V4" s="1"/>
      <c r="W4" s="1"/>
      <c r="X4" s="1"/>
      <c r="Y4" s="1"/>
      <c r="Z4" s="1"/>
    </row>
    <row r="5" customFormat="false" ht="15" hidden="false" customHeight="true" outlineLevel="0" collapsed="false">
      <c r="A5" s="49" t="n">
        <v>2</v>
      </c>
      <c r="B5" s="50" t="s">
        <v>97</v>
      </c>
      <c r="C5" s="51" t="n">
        <v>10</v>
      </c>
      <c r="D5" s="51" t="n">
        <v>10</v>
      </c>
      <c r="E5" s="52" t="n">
        <f aca="false">C5/D5</f>
        <v>1</v>
      </c>
      <c r="F5" s="51" t="s">
        <v>98</v>
      </c>
      <c r="G5" s="1"/>
      <c r="H5" s="1"/>
      <c r="I5" s="1"/>
      <c r="J5" s="1"/>
      <c r="K5" s="1"/>
      <c r="L5" s="1"/>
      <c r="M5" s="1"/>
      <c r="N5" s="1"/>
      <c r="O5" s="1"/>
      <c r="P5" s="1"/>
      <c r="Q5" s="1"/>
      <c r="R5" s="1"/>
      <c r="S5" s="1"/>
      <c r="T5" s="1"/>
      <c r="U5" s="1"/>
      <c r="V5" s="1"/>
      <c r="W5" s="1"/>
      <c r="X5" s="1"/>
      <c r="Y5" s="1"/>
      <c r="Z5" s="1"/>
    </row>
    <row r="6" customFormat="false" ht="15" hidden="false" customHeight="true" outlineLevel="0" collapsed="false">
      <c r="A6" s="49" t="n">
        <v>3</v>
      </c>
      <c r="B6" s="50" t="s">
        <v>105</v>
      </c>
      <c r="C6" s="51" t="n">
        <v>10</v>
      </c>
      <c r="D6" s="51" t="n">
        <v>10</v>
      </c>
      <c r="E6" s="52" t="n">
        <f aca="false">C6/D6</f>
        <v>1</v>
      </c>
      <c r="F6" s="51" t="s">
        <v>106</v>
      </c>
      <c r="G6" s="1"/>
      <c r="H6" s="1"/>
      <c r="I6" s="1"/>
      <c r="J6" s="1"/>
      <c r="K6" s="1"/>
      <c r="L6" s="1"/>
      <c r="M6" s="1"/>
      <c r="N6" s="1"/>
      <c r="O6" s="1"/>
      <c r="P6" s="1"/>
      <c r="Q6" s="1"/>
      <c r="R6" s="1"/>
      <c r="S6" s="1"/>
      <c r="T6" s="1"/>
      <c r="U6" s="1"/>
      <c r="V6" s="1"/>
      <c r="W6" s="1"/>
      <c r="X6" s="1"/>
      <c r="Y6" s="1"/>
      <c r="Z6" s="1"/>
    </row>
    <row r="7" customFormat="false" ht="15" hidden="false" customHeight="true" outlineLevel="0" collapsed="false">
      <c r="A7" s="28" t="n">
        <v>4</v>
      </c>
      <c r="B7" s="29" t="s">
        <v>78</v>
      </c>
      <c r="C7" s="30" t="n">
        <v>9</v>
      </c>
      <c r="D7" s="30" t="n">
        <v>9</v>
      </c>
      <c r="E7" s="31" t="n">
        <f aca="false">C7/D7</f>
        <v>1</v>
      </c>
      <c r="F7" s="30" t="s">
        <v>79</v>
      </c>
      <c r="G7" s="1"/>
      <c r="H7" s="1"/>
      <c r="I7" s="1"/>
      <c r="J7" s="1"/>
      <c r="K7" s="1"/>
      <c r="L7" s="1"/>
      <c r="M7" s="1"/>
      <c r="N7" s="1"/>
      <c r="O7" s="1"/>
      <c r="P7" s="1"/>
      <c r="Q7" s="1"/>
      <c r="R7" s="1"/>
      <c r="S7" s="1"/>
      <c r="T7" s="1"/>
      <c r="U7" s="1"/>
      <c r="V7" s="1"/>
      <c r="W7" s="1"/>
      <c r="X7" s="1"/>
      <c r="Y7" s="1"/>
      <c r="Z7" s="1"/>
    </row>
    <row r="8" customFormat="false" ht="15" hidden="false" customHeight="true" outlineLevel="0" collapsed="false">
      <c r="A8" s="23" t="n">
        <v>5</v>
      </c>
      <c r="B8" s="24" t="s">
        <v>91</v>
      </c>
      <c r="C8" s="25" t="n">
        <v>9</v>
      </c>
      <c r="D8" s="25" t="n">
        <v>10</v>
      </c>
      <c r="E8" s="26" t="n">
        <f aca="false">C8/D8</f>
        <v>0.9</v>
      </c>
      <c r="F8" s="25" t="s">
        <v>92</v>
      </c>
      <c r="G8" s="1"/>
      <c r="H8" s="1"/>
      <c r="I8" s="1"/>
      <c r="J8" s="1"/>
      <c r="K8" s="1"/>
      <c r="L8" s="1"/>
      <c r="M8" s="1"/>
      <c r="N8" s="1"/>
      <c r="O8" s="1"/>
      <c r="P8" s="1"/>
      <c r="Q8" s="1"/>
      <c r="R8" s="1"/>
      <c r="S8" s="1"/>
      <c r="T8" s="1"/>
      <c r="U8" s="1"/>
      <c r="V8" s="1"/>
      <c r="W8" s="1"/>
      <c r="X8" s="1"/>
      <c r="Y8" s="1"/>
      <c r="Z8" s="1"/>
    </row>
    <row r="9" customFormat="false" ht="15" hidden="false" customHeight="true" outlineLevel="0" collapsed="false">
      <c r="A9" s="28" t="n">
        <v>6</v>
      </c>
      <c r="B9" s="29" t="s">
        <v>154</v>
      </c>
      <c r="C9" s="30" t="n">
        <v>9</v>
      </c>
      <c r="D9" s="30" t="n">
        <v>10</v>
      </c>
      <c r="E9" s="31" t="n">
        <f aca="false">C9/D9</f>
        <v>0.9</v>
      </c>
      <c r="F9" s="30" t="s">
        <v>153</v>
      </c>
      <c r="G9" s="1"/>
      <c r="H9" s="1"/>
      <c r="I9" s="1"/>
      <c r="J9" s="1"/>
      <c r="K9" s="1"/>
      <c r="L9" s="1"/>
      <c r="M9" s="1"/>
      <c r="N9" s="1"/>
      <c r="O9" s="1"/>
      <c r="P9" s="1"/>
      <c r="Q9" s="1"/>
      <c r="R9" s="1"/>
      <c r="S9" s="1"/>
      <c r="T9" s="1"/>
      <c r="U9" s="1"/>
      <c r="V9" s="1"/>
      <c r="W9" s="1"/>
      <c r="X9" s="1"/>
      <c r="Y9" s="1"/>
      <c r="Z9" s="1"/>
    </row>
    <row r="10" customFormat="false" ht="15" hidden="false" customHeight="true" outlineLevel="0" collapsed="false">
      <c r="A10" s="23" t="n">
        <v>7</v>
      </c>
      <c r="B10" s="24" t="s">
        <v>115</v>
      </c>
      <c r="C10" s="25" t="n">
        <v>8</v>
      </c>
      <c r="D10" s="25" t="n">
        <v>9</v>
      </c>
      <c r="E10" s="26" t="n">
        <f aca="false">C10/D10</f>
        <v>0.888888888888889</v>
      </c>
      <c r="F10" s="25" t="s">
        <v>116</v>
      </c>
      <c r="G10" s="1"/>
      <c r="H10" s="1"/>
      <c r="I10" s="1"/>
      <c r="J10" s="1"/>
      <c r="K10" s="1"/>
      <c r="L10" s="1"/>
      <c r="M10" s="1"/>
      <c r="N10" s="1"/>
      <c r="O10" s="1"/>
      <c r="P10" s="1"/>
      <c r="Q10" s="1"/>
      <c r="R10" s="1"/>
      <c r="S10" s="1"/>
      <c r="T10" s="1"/>
      <c r="U10" s="1"/>
      <c r="V10" s="1"/>
      <c r="W10" s="1"/>
      <c r="X10" s="1"/>
      <c r="Y10" s="1"/>
      <c r="Z10" s="1"/>
    </row>
    <row r="11" customFormat="false" ht="15" hidden="false" customHeight="true" outlineLevel="0" collapsed="false">
      <c r="A11" s="28" t="n">
        <v>8</v>
      </c>
      <c r="B11" s="29" t="s">
        <v>119</v>
      </c>
      <c r="C11" s="30" t="n">
        <v>8</v>
      </c>
      <c r="D11" s="30" t="n">
        <v>9</v>
      </c>
      <c r="E11" s="31" t="n">
        <f aca="false">C11/D11</f>
        <v>0.888888888888889</v>
      </c>
      <c r="F11" s="30" t="s">
        <v>120</v>
      </c>
      <c r="G11" s="1"/>
      <c r="H11" s="1"/>
      <c r="I11" s="1"/>
      <c r="J11" s="1"/>
      <c r="K11" s="1"/>
      <c r="L11" s="1"/>
      <c r="M11" s="1"/>
      <c r="N11" s="1"/>
      <c r="O11" s="1"/>
      <c r="P11" s="1"/>
      <c r="Q11" s="1"/>
      <c r="R11" s="1"/>
      <c r="S11" s="1"/>
      <c r="T11" s="1"/>
      <c r="U11" s="1"/>
      <c r="V11" s="1"/>
      <c r="W11" s="1"/>
      <c r="X11" s="1"/>
      <c r="Y11" s="1"/>
      <c r="Z11" s="1"/>
    </row>
    <row r="12" customFormat="false" ht="15" hidden="false" customHeight="true" outlineLevel="0" collapsed="false">
      <c r="A12" s="23" t="n">
        <v>9</v>
      </c>
      <c r="B12" s="24" t="s">
        <v>143</v>
      </c>
      <c r="C12" s="25" t="n">
        <v>8</v>
      </c>
      <c r="D12" s="25" t="n">
        <v>10</v>
      </c>
      <c r="E12" s="26" t="n">
        <f aca="false">C12/D12</f>
        <v>0.8</v>
      </c>
      <c r="F12" s="25" t="s">
        <v>108</v>
      </c>
      <c r="G12" s="1"/>
      <c r="H12" s="1"/>
      <c r="I12" s="1"/>
      <c r="J12" s="1"/>
      <c r="K12" s="1"/>
      <c r="L12" s="1"/>
      <c r="M12" s="1"/>
      <c r="N12" s="1"/>
      <c r="O12" s="1"/>
      <c r="P12" s="1"/>
      <c r="Q12" s="1"/>
      <c r="R12" s="1"/>
      <c r="S12" s="1"/>
      <c r="T12" s="1"/>
      <c r="U12" s="1"/>
      <c r="V12" s="1"/>
      <c r="W12" s="1"/>
      <c r="X12" s="1"/>
      <c r="Y12" s="1"/>
      <c r="Z12" s="1"/>
    </row>
    <row r="13" customFormat="false" ht="15" hidden="false" customHeight="true" outlineLevel="0" collapsed="false">
      <c r="A13" s="28" t="n">
        <v>10</v>
      </c>
      <c r="B13" s="29" t="s">
        <v>147</v>
      </c>
      <c r="C13" s="30" t="n">
        <v>8</v>
      </c>
      <c r="D13" s="30" t="n">
        <v>9</v>
      </c>
      <c r="E13" s="31" t="n">
        <f aca="false">C13/D13</f>
        <v>0.888888888888889</v>
      </c>
      <c r="F13" s="30" t="s">
        <v>92</v>
      </c>
      <c r="G13" s="1"/>
      <c r="H13" s="1"/>
      <c r="I13" s="1"/>
      <c r="J13" s="1"/>
      <c r="K13" s="1"/>
      <c r="L13" s="1"/>
      <c r="M13" s="1"/>
      <c r="N13" s="1"/>
      <c r="O13" s="1"/>
      <c r="P13" s="1"/>
      <c r="Q13" s="1"/>
      <c r="R13" s="1"/>
      <c r="S13" s="1"/>
      <c r="T13" s="1"/>
      <c r="U13" s="1"/>
      <c r="V13" s="1"/>
      <c r="W13" s="1"/>
      <c r="X13" s="1"/>
      <c r="Y13" s="1"/>
      <c r="Z13" s="1"/>
    </row>
    <row r="14" customFormat="false" ht="15" hidden="false" customHeight="true" outlineLevel="0" collapsed="false">
      <c r="G14" s="1"/>
      <c r="H14" s="1"/>
      <c r="I14" s="1"/>
      <c r="J14" s="1"/>
      <c r="K14" s="1"/>
      <c r="L14" s="1"/>
      <c r="M14" s="1"/>
      <c r="N14" s="1"/>
      <c r="O14" s="1"/>
      <c r="P14" s="1"/>
      <c r="Q14" s="1"/>
      <c r="R14" s="1"/>
      <c r="S14" s="1"/>
      <c r="T14" s="1"/>
      <c r="U14" s="1"/>
      <c r="V14" s="1"/>
      <c r="W14" s="1"/>
      <c r="X14" s="1"/>
      <c r="Y14" s="1"/>
      <c r="Z14" s="1"/>
    </row>
    <row r="15" customFormat="false" ht="15.75" hidden="false" customHeight="true" outlineLevel="0" collapsed="false">
      <c r="A15" s="45" t="s">
        <v>159</v>
      </c>
      <c r="B15" s="45"/>
      <c r="C15" s="45"/>
      <c r="D15" s="45"/>
      <c r="E15" s="45"/>
      <c r="F15" s="45"/>
      <c r="G15" s="1"/>
      <c r="H15" s="1"/>
      <c r="I15" s="1"/>
      <c r="J15" s="1"/>
      <c r="K15" s="1"/>
      <c r="L15" s="1"/>
      <c r="M15" s="1"/>
      <c r="N15" s="1"/>
      <c r="O15" s="1"/>
      <c r="P15" s="1"/>
      <c r="Q15" s="1"/>
      <c r="R15" s="1"/>
      <c r="S15" s="1"/>
      <c r="T15" s="1"/>
      <c r="U15" s="1"/>
      <c r="V15" s="1"/>
      <c r="W15" s="1"/>
      <c r="X15" s="1"/>
      <c r="Y15" s="1"/>
      <c r="Z15" s="1"/>
    </row>
    <row r="16" customFormat="false" ht="15.75" hidden="false" customHeight="true" outlineLevel="0" collapsed="false">
      <c r="A16" s="46" t="s">
        <v>175</v>
      </c>
      <c r="B16" s="46"/>
      <c r="C16" s="46"/>
      <c r="D16" s="46"/>
      <c r="E16" s="46"/>
      <c r="F16" s="46"/>
      <c r="G16" s="1"/>
      <c r="H16" s="1"/>
      <c r="I16" s="1"/>
      <c r="J16" s="1"/>
      <c r="K16" s="1"/>
      <c r="L16" s="1"/>
      <c r="M16" s="1"/>
      <c r="N16" s="1"/>
      <c r="O16" s="1"/>
      <c r="P16" s="1"/>
      <c r="Q16" s="1"/>
      <c r="R16" s="1"/>
      <c r="S16" s="1"/>
      <c r="T16" s="1"/>
      <c r="U16" s="1"/>
      <c r="V16" s="1"/>
      <c r="W16" s="1"/>
      <c r="X16" s="1"/>
      <c r="Y16" s="1"/>
      <c r="Z16" s="1"/>
    </row>
    <row r="17" customFormat="false" ht="15.75" hidden="false" customHeight="true" outlineLevel="0" collapsed="false">
      <c r="A17" s="46" t="s">
        <v>160</v>
      </c>
      <c r="B17" s="46"/>
      <c r="C17" s="46"/>
      <c r="D17" s="46"/>
      <c r="E17" s="46"/>
      <c r="F17" s="46"/>
      <c r="G17" s="1"/>
      <c r="H17" s="1"/>
      <c r="I17" s="1"/>
      <c r="J17" s="1"/>
      <c r="K17" s="1"/>
      <c r="L17" s="1"/>
      <c r="M17" s="1"/>
      <c r="N17" s="1"/>
      <c r="O17" s="1"/>
      <c r="P17" s="1"/>
      <c r="Q17" s="1"/>
      <c r="R17" s="1"/>
      <c r="S17" s="1"/>
      <c r="T17" s="1"/>
      <c r="U17" s="1"/>
      <c r="V17" s="1"/>
      <c r="W17" s="1"/>
      <c r="X17" s="1"/>
      <c r="Y17" s="1"/>
      <c r="Z17" s="1"/>
    </row>
    <row r="18" customFormat="false" ht="15.75" hidden="false" customHeight="true" outlineLevel="0" collapsed="false">
      <c r="A18" s="46" t="s">
        <v>176</v>
      </c>
      <c r="B18" s="46"/>
      <c r="C18" s="46"/>
      <c r="D18" s="46"/>
      <c r="E18" s="46"/>
      <c r="F18" s="46"/>
      <c r="G18" s="1"/>
      <c r="H18" s="1"/>
      <c r="I18" s="1"/>
      <c r="J18" s="1"/>
      <c r="K18" s="1"/>
      <c r="L18" s="1"/>
      <c r="M18" s="1"/>
      <c r="N18" s="1"/>
      <c r="O18" s="1"/>
      <c r="P18" s="1"/>
      <c r="Q18" s="1"/>
      <c r="R18" s="1"/>
      <c r="S18" s="1"/>
      <c r="T18" s="1"/>
      <c r="U18" s="1"/>
      <c r="V18" s="1"/>
      <c r="W18" s="1"/>
      <c r="X18" s="1"/>
      <c r="Y18" s="1"/>
      <c r="Z18" s="1"/>
    </row>
    <row r="19" customFormat="false" ht="15.75" hidden="false" customHeight="true" outlineLevel="0" collapsed="false">
      <c r="A19" s="46" t="s">
        <v>166</v>
      </c>
      <c r="B19" s="46"/>
      <c r="C19" s="46"/>
      <c r="D19" s="46"/>
      <c r="E19" s="46"/>
      <c r="F19" s="46"/>
      <c r="G19" s="1"/>
      <c r="H19" s="1"/>
      <c r="I19" s="1"/>
      <c r="J19" s="1"/>
      <c r="K19" s="1"/>
      <c r="L19" s="1"/>
      <c r="M19" s="1"/>
      <c r="N19" s="1"/>
      <c r="O19" s="1"/>
      <c r="P19" s="1"/>
      <c r="Q19" s="1"/>
      <c r="R19" s="1"/>
      <c r="S19" s="1"/>
      <c r="T19" s="1"/>
      <c r="U19" s="1"/>
      <c r="V19" s="1"/>
      <c r="W19" s="1"/>
      <c r="X19" s="1"/>
      <c r="Y19" s="1"/>
      <c r="Z19" s="1"/>
    </row>
    <row r="20" customFormat="false" ht="15.75" hidden="false" customHeight="true" outlineLevel="0" collapsed="false">
      <c r="A20" s="46" t="s">
        <v>177</v>
      </c>
      <c r="B20" s="46"/>
      <c r="C20" s="46"/>
      <c r="D20" s="46"/>
      <c r="E20" s="46"/>
      <c r="F20" s="46"/>
      <c r="G20" s="1"/>
      <c r="H20" s="1"/>
      <c r="I20" s="1"/>
      <c r="J20" s="1"/>
      <c r="K20" s="1"/>
      <c r="L20" s="1"/>
      <c r="M20" s="1"/>
      <c r="N20" s="1"/>
      <c r="O20" s="1"/>
      <c r="P20" s="1"/>
      <c r="Q20" s="1"/>
      <c r="R20" s="1"/>
      <c r="S20" s="1"/>
      <c r="T20" s="1"/>
      <c r="U20" s="1"/>
      <c r="V20" s="1"/>
      <c r="W20" s="1"/>
      <c r="X20" s="1"/>
      <c r="Y20" s="1"/>
      <c r="Z20" s="1"/>
    </row>
    <row r="21" customFormat="false" ht="15.75" hidden="false" customHeight="true" outlineLevel="0" collapsed="false">
      <c r="G21" s="1"/>
      <c r="H21" s="1"/>
      <c r="I21" s="1"/>
      <c r="J21" s="1"/>
      <c r="K21" s="1"/>
      <c r="L21" s="1"/>
      <c r="M21" s="1"/>
      <c r="N21" s="1"/>
      <c r="O21" s="1"/>
      <c r="P21" s="1"/>
      <c r="Q21" s="1"/>
      <c r="R21" s="1"/>
      <c r="S21" s="1"/>
      <c r="T21" s="1"/>
      <c r="U21" s="1"/>
      <c r="V21" s="1"/>
      <c r="W21" s="1"/>
      <c r="X21" s="1"/>
      <c r="Y21" s="1"/>
      <c r="Z21" s="1"/>
    </row>
    <row r="22" customFormat="false" ht="15.75" hidden="false" customHeight="true" outlineLevel="0" collapsed="false">
      <c r="G22" s="1"/>
      <c r="H22" s="1"/>
      <c r="I22" s="1"/>
      <c r="J22" s="1"/>
      <c r="K22" s="1"/>
      <c r="L22" s="1"/>
      <c r="M22" s="1"/>
      <c r="N22" s="1"/>
      <c r="O22" s="1"/>
      <c r="P22" s="1"/>
      <c r="Q22" s="1"/>
      <c r="R22" s="1"/>
      <c r="S22" s="1"/>
      <c r="T22" s="1"/>
      <c r="U22" s="1"/>
      <c r="V22" s="1"/>
      <c r="W22" s="1"/>
      <c r="X22" s="1"/>
      <c r="Y22" s="1"/>
      <c r="Z22" s="1"/>
    </row>
    <row r="23" customFormat="false" ht="15.75" hidden="false" customHeight="true" outlineLevel="0" collapsed="false">
      <c r="G23" s="1"/>
      <c r="H23" s="1"/>
      <c r="I23" s="1"/>
      <c r="J23" s="1"/>
      <c r="K23" s="1"/>
      <c r="L23" s="1"/>
      <c r="M23" s="1"/>
      <c r="N23" s="1"/>
      <c r="O23" s="1"/>
      <c r="P23" s="1"/>
      <c r="Q23" s="1"/>
      <c r="R23" s="1"/>
      <c r="S23" s="1"/>
      <c r="T23" s="1"/>
      <c r="U23" s="1"/>
      <c r="V23" s="1"/>
      <c r="W23" s="1"/>
      <c r="X23" s="1"/>
      <c r="Y23" s="1"/>
      <c r="Z23" s="1"/>
    </row>
    <row r="24" customFormat="false" ht="15.75" hidden="false" customHeight="true" outlineLevel="0" collapsed="false">
      <c r="G24" s="1"/>
      <c r="H24" s="1"/>
      <c r="I24" s="1"/>
      <c r="J24" s="1"/>
      <c r="K24" s="1"/>
      <c r="L24" s="1"/>
      <c r="M24" s="1"/>
      <c r="N24" s="1"/>
      <c r="O24" s="1"/>
      <c r="P24" s="1"/>
      <c r="Q24" s="1"/>
      <c r="R24" s="1"/>
      <c r="S24" s="1"/>
      <c r="T24" s="1"/>
      <c r="U24" s="1"/>
      <c r="V24" s="1"/>
      <c r="W24" s="1"/>
      <c r="X24" s="1"/>
      <c r="Y24" s="1"/>
      <c r="Z24" s="1"/>
    </row>
    <row r="25" customFormat="false" ht="15.75" hidden="false" customHeight="true" outlineLevel="0" collapsed="false">
      <c r="G25" s="1"/>
      <c r="H25" s="1"/>
      <c r="I25" s="1"/>
      <c r="J25" s="1"/>
      <c r="K25" s="1"/>
      <c r="L25" s="1"/>
      <c r="M25" s="1"/>
      <c r="N25" s="1"/>
      <c r="O25" s="1"/>
      <c r="P25" s="1"/>
      <c r="Q25" s="1"/>
      <c r="R25" s="1"/>
      <c r="S25" s="1"/>
      <c r="T25" s="1"/>
      <c r="U25" s="1"/>
      <c r="V25" s="1"/>
      <c r="W25" s="1"/>
      <c r="X25" s="1"/>
      <c r="Y25" s="1"/>
      <c r="Z25" s="1"/>
    </row>
    <row r="26" customFormat="false" ht="15.75" hidden="false" customHeight="true" outlineLevel="0" collapsed="false">
      <c r="G26" s="1"/>
      <c r="H26" s="1"/>
      <c r="I26" s="1"/>
      <c r="J26" s="1"/>
      <c r="K26" s="1"/>
      <c r="L26" s="1"/>
      <c r="M26" s="1"/>
      <c r="N26" s="1"/>
      <c r="O26" s="1"/>
      <c r="P26" s="1"/>
      <c r="Q26" s="1"/>
      <c r="R26" s="1"/>
      <c r="S26" s="1"/>
      <c r="T26" s="1"/>
      <c r="U26" s="1"/>
      <c r="V26" s="1"/>
      <c r="W26" s="1"/>
      <c r="X26" s="1"/>
      <c r="Y26" s="1"/>
      <c r="Z26" s="1"/>
    </row>
    <row r="27" customFormat="false" ht="15.75" hidden="false" customHeight="true" outlineLevel="0" collapsed="false">
      <c r="G27" s="1"/>
      <c r="H27" s="1"/>
      <c r="I27" s="1"/>
      <c r="J27" s="1"/>
      <c r="K27" s="1"/>
      <c r="L27" s="1"/>
      <c r="M27" s="1"/>
      <c r="N27" s="1"/>
      <c r="O27" s="1"/>
      <c r="P27" s="1"/>
      <c r="Q27" s="1"/>
      <c r="R27" s="1"/>
      <c r="S27" s="1"/>
      <c r="T27" s="1"/>
      <c r="U27" s="1"/>
      <c r="V27" s="1"/>
      <c r="W27" s="1"/>
      <c r="X27" s="1"/>
      <c r="Y27" s="1"/>
      <c r="Z27" s="1"/>
    </row>
    <row r="28" customFormat="false" ht="15.75" hidden="false" customHeight="true" outlineLevel="0" collapsed="false">
      <c r="G28" s="1"/>
      <c r="H28" s="1"/>
      <c r="I28" s="1"/>
      <c r="J28" s="1"/>
      <c r="K28" s="1"/>
      <c r="L28" s="1"/>
      <c r="M28" s="1"/>
      <c r="N28" s="1"/>
      <c r="O28" s="1"/>
      <c r="P28" s="1"/>
      <c r="Q28" s="1"/>
      <c r="R28" s="1"/>
      <c r="S28" s="1"/>
      <c r="T28" s="1"/>
      <c r="U28" s="1"/>
      <c r="V28" s="1"/>
      <c r="W28" s="1"/>
      <c r="X28" s="1"/>
      <c r="Y28" s="1"/>
      <c r="Z28" s="1"/>
    </row>
    <row r="29" customFormat="false" ht="15.75" hidden="false" customHeight="true" outlineLevel="0" collapsed="false">
      <c r="G29" s="1"/>
      <c r="H29" s="1"/>
      <c r="I29" s="1"/>
      <c r="J29" s="1"/>
      <c r="K29" s="1"/>
      <c r="L29" s="1"/>
      <c r="M29" s="1"/>
      <c r="N29" s="1"/>
      <c r="O29" s="1"/>
      <c r="P29" s="1"/>
      <c r="Q29" s="1"/>
      <c r="R29" s="1"/>
      <c r="S29" s="1"/>
      <c r="T29" s="1"/>
      <c r="U29" s="1"/>
      <c r="V29" s="1"/>
      <c r="W29" s="1"/>
      <c r="X29" s="1"/>
      <c r="Y29" s="1"/>
      <c r="Z29" s="1"/>
    </row>
    <row r="30" customFormat="false" ht="15.75" hidden="false" customHeight="true" outlineLevel="0" collapsed="false">
      <c r="G30" s="1"/>
      <c r="H30" s="1"/>
      <c r="I30" s="1"/>
      <c r="J30" s="1"/>
      <c r="K30" s="1"/>
      <c r="L30" s="1"/>
      <c r="M30" s="1"/>
      <c r="N30" s="1"/>
      <c r="O30" s="1"/>
      <c r="P30" s="1"/>
      <c r="Q30" s="1"/>
      <c r="R30" s="1"/>
      <c r="S30" s="1"/>
      <c r="T30" s="1"/>
      <c r="U30" s="1"/>
      <c r="V30" s="1"/>
      <c r="W30" s="1"/>
      <c r="X30" s="1"/>
      <c r="Y30" s="1"/>
      <c r="Z30" s="1"/>
    </row>
    <row r="31" customFormat="false" ht="15.75" hidden="false" customHeight="true" outlineLevel="0" collapsed="false">
      <c r="G31" s="1"/>
      <c r="H31" s="1"/>
      <c r="I31" s="1"/>
      <c r="J31" s="1"/>
      <c r="K31" s="1"/>
      <c r="L31" s="1"/>
      <c r="M31" s="1"/>
      <c r="N31" s="1"/>
      <c r="O31" s="1"/>
      <c r="P31" s="1"/>
      <c r="Q31" s="1"/>
      <c r="R31" s="1"/>
      <c r="S31" s="1"/>
      <c r="T31" s="1"/>
      <c r="U31" s="1"/>
      <c r="V31" s="1"/>
      <c r="W31" s="1"/>
      <c r="X31" s="1"/>
      <c r="Y31" s="1"/>
      <c r="Z31" s="1"/>
    </row>
    <row r="32" customFormat="false" ht="15.75" hidden="false" customHeight="true" outlineLevel="0" collapsed="false">
      <c r="G32" s="1"/>
      <c r="H32" s="1"/>
      <c r="I32" s="1"/>
      <c r="J32" s="1"/>
      <c r="K32" s="1"/>
      <c r="L32" s="1"/>
      <c r="M32" s="1"/>
      <c r="N32" s="1"/>
      <c r="O32" s="1"/>
      <c r="P32" s="1"/>
      <c r="Q32" s="1"/>
      <c r="R32" s="1"/>
      <c r="S32" s="1"/>
      <c r="T32" s="1"/>
      <c r="U32" s="1"/>
      <c r="V32" s="1"/>
      <c r="W32" s="1"/>
      <c r="X32" s="1"/>
      <c r="Y32" s="1"/>
      <c r="Z32" s="1"/>
    </row>
    <row r="33" customFormat="false" ht="15.75" hidden="false" customHeight="true" outlineLevel="0" collapsed="false">
      <c r="G33" s="1"/>
      <c r="H33" s="1"/>
      <c r="I33" s="1"/>
      <c r="J33" s="1"/>
      <c r="K33" s="1"/>
      <c r="L33" s="1"/>
      <c r="M33" s="1"/>
      <c r="N33" s="1"/>
      <c r="O33" s="1"/>
      <c r="P33" s="1"/>
      <c r="Q33" s="1"/>
      <c r="R33" s="1"/>
      <c r="S33" s="1"/>
      <c r="T33" s="1"/>
      <c r="U33" s="1"/>
      <c r="V33" s="1"/>
      <c r="W33" s="1"/>
      <c r="X33" s="1"/>
      <c r="Y33" s="1"/>
      <c r="Z33" s="1"/>
    </row>
    <row r="34" customFormat="false" ht="15.75" hidden="false" customHeight="true" outlineLevel="0" collapsed="false">
      <c r="G34" s="1"/>
      <c r="H34" s="1"/>
      <c r="I34" s="1"/>
      <c r="J34" s="1"/>
      <c r="K34" s="1"/>
      <c r="L34" s="1"/>
      <c r="M34" s="1"/>
      <c r="N34" s="1"/>
      <c r="O34" s="1"/>
      <c r="P34" s="1"/>
      <c r="Q34" s="1"/>
      <c r="R34" s="1"/>
      <c r="S34" s="1"/>
      <c r="T34" s="1"/>
      <c r="U34" s="1"/>
      <c r="V34" s="1"/>
      <c r="W34" s="1"/>
      <c r="X34" s="1"/>
      <c r="Y34" s="1"/>
      <c r="Z34" s="1"/>
    </row>
    <row r="35" customFormat="false" ht="15.75" hidden="false" customHeight="true" outlineLevel="0" collapsed="false">
      <c r="G35" s="1"/>
      <c r="H35" s="1"/>
      <c r="I35" s="1"/>
      <c r="J35" s="1"/>
      <c r="K35" s="1"/>
      <c r="L35" s="1"/>
      <c r="M35" s="1"/>
      <c r="N35" s="1"/>
      <c r="O35" s="1"/>
      <c r="P35" s="1"/>
      <c r="Q35" s="1"/>
      <c r="R35" s="1"/>
      <c r="S35" s="1"/>
      <c r="T35" s="1"/>
      <c r="U35" s="1"/>
      <c r="V35" s="1"/>
      <c r="W35" s="1"/>
      <c r="X35" s="1"/>
      <c r="Y35" s="1"/>
      <c r="Z35" s="1"/>
    </row>
    <row r="36" customFormat="false" ht="15.75" hidden="false" customHeight="true" outlineLevel="0" collapsed="false">
      <c r="G36" s="1"/>
      <c r="H36" s="1"/>
      <c r="I36" s="1"/>
      <c r="J36" s="1"/>
      <c r="K36" s="1"/>
      <c r="L36" s="1"/>
      <c r="M36" s="1"/>
      <c r="N36" s="1"/>
      <c r="O36" s="1"/>
      <c r="P36" s="1"/>
      <c r="Q36" s="1"/>
      <c r="R36" s="1"/>
      <c r="S36" s="1"/>
      <c r="T36" s="1"/>
      <c r="U36" s="1"/>
      <c r="V36" s="1"/>
      <c r="W36" s="1"/>
      <c r="X36" s="1"/>
      <c r="Y36" s="1"/>
      <c r="Z36" s="1"/>
    </row>
    <row r="37" customFormat="false" ht="15.75" hidden="false" customHeight="true" outlineLevel="0" collapsed="false">
      <c r="G37" s="1"/>
      <c r="H37" s="1"/>
      <c r="I37" s="1"/>
      <c r="J37" s="1"/>
      <c r="K37" s="1"/>
      <c r="L37" s="1"/>
      <c r="M37" s="1"/>
      <c r="N37" s="1"/>
      <c r="O37" s="1"/>
      <c r="P37" s="1"/>
      <c r="Q37" s="1"/>
      <c r="R37" s="1"/>
      <c r="S37" s="1"/>
      <c r="T37" s="1"/>
      <c r="U37" s="1"/>
      <c r="V37" s="1"/>
      <c r="W37" s="1"/>
      <c r="X37" s="1"/>
      <c r="Y37" s="1"/>
      <c r="Z37" s="1"/>
    </row>
    <row r="38" customFormat="false" ht="15.75" hidden="false" customHeight="true" outlineLevel="0" collapsed="false">
      <c r="G38" s="1"/>
      <c r="H38" s="1"/>
      <c r="I38" s="1"/>
      <c r="J38" s="1"/>
      <c r="K38" s="1"/>
      <c r="L38" s="1"/>
      <c r="M38" s="1"/>
      <c r="N38" s="1"/>
      <c r="O38" s="1"/>
      <c r="P38" s="1"/>
      <c r="Q38" s="1"/>
      <c r="R38" s="1"/>
      <c r="S38" s="1"/>
      <c r="T38" s="1"/>
      <c r="U38" s="1"/>
      <c r="V38" s="1"/>
      <c r="W38" s="1"/>
      <c r="X38" s="1"/>
      <c r="Y38" s="1"/>
      <c r="Z38" s="1"/>
    </row>
    <row r="39" customFormat="false" ht="15.75" hidden="false" customHeight="true" outlineLevel="0" collapsed="false">
      <c r="G39" s="1"/>
      <c r="H39" s="1"/>
      <c r="I39" s="1"/>
      <c r="J39" s="1"/>
      <c r="K39" s="1"/>
      <c r="L39" s="1"/>
      <c r="M39" s="1"/>
      <c r="N39" s="1"/>
      <c r="O39" s="1"/>
      <c r="P39" s="1"/>
      <c r="Q39" s="1"/>
      <c r="R39" s="1"/>
      <c r="S39" s="1"/>
      <c r="T39" s="1"/>
      <c r="U39" s="1"/>
      <c r="V39" s="1"/>
      <c r="W39" s="1"/>
      <c r="X39" s="1"/>
      <c r="Y39" s="1"/>
      <c r="Z39" s="1"/>
    </row>
    <row r="40" customFormat="false" ht="15.75" hidden="false" customHeight="true" outlineLevel="0" collapsed="false">
      <c r="G40" s="1"/>
      <c r="H40" s="1"/>
      <c r="I40" s="1"/>
      <c r="J40" s="1"/>
      <c r="K40" s="1"/>
      <c r="L40" s="1"/>
      <c r="M40" s="1"/>
      <c r="N40" s="1"/>
      <c r="O40" s="1"/>
      <c r="P40" s="1"/>
      <c r="Q40" s="1"/>
      <c r="R40" s="1"/>
      <c r="S40" s="1"/>
      <c r="T40" s="1"/>
      <c r="U40" s="1"/>
      <c r="V40" s="1"/>
      <c r="W40" s="1"/>
      <c r="X40" s="1"/>
      <c r="Y40" s="1"/>
      <c r="Z40" s="1"/>
    </row>
    <row r="41" customFormat="false" ht="15.75" hidden="false" customHeight="true" outlineLevel="0" collapsed="false">
      <c r="G41" s="1"/>
      <c r="H41" s="1"/>
      <c r="I41" s="1"/>
      <c r="J41" s="1"/>
      <c r="K41" s="1"/>
      <c r="L41" s="1"/>
      <c r="M41" s="1"/>
      <c r="N41" s="1"/>
      <c r="O41" s="1"/>
      <c r="P41" s="1"/>
      <c r="Q41" s="1"/>
      <c r="R41" s="1"/>
      <c r="S41" s="1"/>
      <c r="T41" s="1"/>
      <c r="U41" s="1"/>
      <c r="V41" s="1"/>
      <c r="W41" s="1"/>
      <c r="X41" s="1"/>
      <c r="Y41" s="1"/>
      <c r="Z41" s="1"/>
    </row>
    <row r="42" customFormat="false" ht="15.75" hidden="false" customHeight="true" outlineLevel="0" collapsed="false">
      <c r="G42" s="1"/>
      <c r="H42" s="1"/>
      <c r="I42" s="1"/>
      <c r="J42" s="1"/>
      <c r="K42" s="1"/>
      <c r="L42" s="1"/>
      <c r="M42" s="1"/>
      <c r="N42" s="1"/>
      <c r="O42" s="1"/>
      <c r="P42" s="1"/>
      <c r="Q42" s="1"/>
      <c r="R42" s="1"/>
      <c r="S42" s="1"/>
      <c r="T42" s="1"/>
      <c r="U42" s="1"/>
      <c r="V42" s="1"/>
      <c r="W42" s="1"/>
      <c r="X42" s="1"/>
      <c r="Y42" s="1"/>
      <c r="Z42" s="1"/>
    </row>
    <row r="43" customFormat="false" ht="15.75" hidden="false" customHeight="true" outlineLevel="0" collapsed="false">
      <c r="G43" s="1"/>
      <c r="H43" s="1"/>
      <c r="I43" s="1"/>
      <c r="J43" s="1"/>
      <c r="K43" s="1"/>
      <c r="L43" s="1"/>
      <c r="M43" s="1"/>
      <c r="N43" s="1"/>
      <c r="O43" s="1"/>
      <c r="P43" s="1"/>
      <c r="Q43" s="1"/>
      <c r="R43" s="1"/>
      <c r="S43" s="1"/>
      <c r="T43" s="1"/>
      <c r="U43" s="1"/>
      <c r="V43" s="1"/>
      <c r="W43" s="1"/>
      <c r="X43" s="1"/>
      <c r="Y43" s="1"/>
      <c r="Z43" s="1"/>
    </row>
    <row r="44" customFormat="false" ht="15.75" hidden="false" customHeight="true" outlineLevel="0" collapsed="false">
      <c r="G44" s="1"/>
      <c r="H44" s="1"/>
      <c r="I44" s="1"/>
      <c r="J44" s="1"/>
      <c r="K44" s="1"/>
      <c r="L44" s="1"/>
      <c r="M44" s="1"/>
      <c r="N44" s="1"/>
      <c r="O44" s="1"/>
      <c r="P44" s="1"/>
      <c r="Q44" s="1"/>
      <c r="R44" s="1"/>
      <c r="S44" s="1"/>
      <c r="T44" s="1"/>
      <c r="U44" s="1"/>
      <c r="V44" s="1"/>
      <c r="W44" s="1"/>
      <c r="X44" s="1"/>
      <c r="Y44" s="1"/>
      <c r="Z44" s="1"/>
    </row>
    <row r="45" customFormat="false" ht="15.75" hidden="false" customHeight="true" outlineLevel="0" collapsed="false">
      <c r="G45" s="1"/>
      <c r="H45" s="1"/>
      <c r="I45" s="1"/>
      <c r="J45" s="1"/>
      <c r="K45" s="1"/>
      <c r="L45" s="1"/>
      <c r="M45" s="1"/>
      <c r="N45" s="1"/>
      <c r="O45" s="1"/>
      <c r="P45" s="1"/>
      <c r="Q45" s="1"/>
      <c r="R45" s="1"/>
      <c r="S45" s="1"/>
      <c r="T45" s="1"/>
      <c r="U45" s="1"/>
      <c r="V45" s="1"/>
      <c r="W45" s="1"/>
      <c r="X45" s="1"/>
      <c r="Y45" s="1"/>
      <c r="Z45" s="1"/>
    </row>
    <row r="46" customFormat="false" ht="15.75" hidden="false" customHeight="true" outlineLevel="0" collapsed="false">
      <c r="G46" s="1"/>
      <c r="H46" s="1"/>
      <c r="I46" s="1"/>
      <c r="J46" s="1"/>
      <c r="K46" s="1"/>
      <c r="L46" s="1"/>
      <c r="M46" s="1"/>
      <c r="N46" s="1"/>
      <c r="O46" s="1"/>
      <c r="P46" s="1"/>
      <c r="Q46" s="1"/>
      <c r="R46" s="1"/>
      <c r="S46" s="1"/>
      <c r="T46" s="1"/>
      <c r="U46" s="1"/>
      <c r="V46" s="1"/>
      <c r="W46" s="1"/>
      <c r="X46" s="1"/>
      <c r="Y46" s="1"/>
      <c r="Z46" s="1"/>
    </row>
    <row r="47" customFormat="false" ht="15.75" hidden="false" customHeight="true" outlineLevel="0" collapsed="false">
      <c r="G47" s="1"/>
      <c r="H47" s="1"/>
      <c r="I47" s="1"/>
      <c r="J47" s="1"/>
      <c r="K47" s="1"/>
      <c r="L47" s="1"/>
      <c r="M47" s="1"/>
      <c r="N47" s="1"/>
      <c r="O47" s="1"/>
      <c r="P47" s="1"/>
      <c r="Q47" s="1"/>
      <c r="R47" s="1"/>
      <c r="S47" s="1"/>
      <c r="T47" s="1"/>
      <c r="U47" s="1"/>
      <c r="V47" s="1"/>
      <c r="W47" s="1"/>
      <c r="X47" s="1"/>
      <c r="Y47" s="1"/>
      <c r="Z47" s="1"/>
    </row>
    <row r="48" customFormat="false" ht="15.75" hidden="false" customHeight="true" outlineLevel="0" collapsed="false">
      <c r="G48" s="1"/>
      <c r="H48" s="1"/>
      <c r="I48" s="1"/>
      <c r="J48" s="1"/>
      <c r="K48" s="1"/>
      <c r="L48" s="1"/>
      <c r="M48" s="1"/>
      <c r="N48" s="1"/>
      <c r="O48" s="1"/>
      <c r="P48" s="1"/>
      <c r="Q48" s="1"/>
      <c r="R48" s="1"/>
      <c r="S48" s="1"/>
      <c r="T48" s="1"/>
      <c r="U48" s="1"/>
      <c r="V48" s="1"/>
      <c r="W48" s="1"/>
      <c r="X48" s="1"/>
      <c r="Y48" s="1"/>
      <c r="Z48" s="1"/>
    </row>
    <row r="49" customFormat="false" ht="15.75" hidden="false" customHeight="true" outlineLevel="0" collapsed="false">
      <c r="G49" s="1"/>
      <c r="H49" s="1"/>
      <c r="I49" s="1"/>
      <c r="J49" s="1"/>
      <c r="K49" s="1"/>
      <c r="L49" s="1"/>
      <c r="M49" s="1"/>
      <c r="N49" s="1"/>
      <c r="O49" s="1"/>
      <c r="P49" s="1"/>
      <c r="Q49" s="1"/>
      <c r="R49" s="1"/>
      <c r="S49" s="1"/>
      <c r="T49" s="1"/>
      <c r="U49" s="1"/>
      <c r="V49" s="1"/>
      <c r="W49" s="1"/>
      <c r="X49" s="1"/>
      <c r="Y49" s="1"/>
      <c r="Z49" s="1"/>
    </row>
    <row r="50" customFormat="false" ht="15.75" hidden="false" customHeight="true" outlineLevel="0" collapsed="false">
      <c r="G50" s="1"/>
      <c r="H50" s="1"/>
      <c r="I50" s="1"/>
      <c r="J50" s="1"/>
      <c r="K50" s="1"/>
      <c r="L50" s="1"/>
      <c r="M50" s="1"/>
      <c r="N50" s="1"/>
      <c r="O50" s="1"/>
      <c r="P50" s="1"/>
      <c r="Q50" s="1"/>
      <c r="R50" s="1"/>
      <c r="S50" s="1"/>
      <c r="T50" s="1"/>
      <c r="U50" s="1"/>
      <c r="V50" s="1"/>
      <c r="W50" s="1"/>
      <c r="X50" s="1"/>
      <c r="Y50" s="1"/>
      <c r="Z50" s="1"/>
    </row>
    <row r="51" customFormat="false" ht="15.75" hidden="false" customHeight="true" outlineLevel="0" collapsed="false">
      <c r="G51" s="1"/>
      <c r="H51" s="1"/>
      <c r="I51" s="1"/>
      <c r="J51" s="1"/>
      <c r="K51" s="1"/>
      <c r="L51" s="1"/>
      <c r="M51" s="1"/>
      <c r="N51" s="1"/>
      <c r="O51" s="1"/>
      <c r="P51" s="1"/>
      <c r="Q51" s="1"/>
      <c r="R51" s="1"/>
      <c r="S51" s="1"/>
      <c r="T51" s="1"/>
      <c r="U51" s="1"/>
      <c r="V51" s="1"/>
      <c r="W51" s="1"/>
      <c r="X51" s="1"/>
      <c r="Y51" s="1"/>
      <c r="Z51" s="1"/>
    </row>
    <row r="52" customFormat="false" ht="15.75" hidden="false" customHeight="true" outlineLevel="0" collapsed="false">
      <c r="G52" s="1"/>
      <c r="H52" s="1"/>
      <c r="I52" s="1"/>
      <c r="J52" s="1"/>
      <c r="K52" s="1"/>
      <c r="L52" s="1"/>
      <c r="M52" s="1"/>
      <c r="N52" s="1"/>
      <c r="O52" s="1"/>
      <c r="P52" s="1"/>
      <c r="Q52" s="1"/>
      <c r="R52" s="1"/>
      <c r="S52" s="1"/>
      <c r="T52" s="1"/>
      <c r="U52" s="1"/>
      <c r="V52" s="1"/>
      <c r="W52" s="1"/>
      <c r="X52" s="1"/>
      <c r="Y52" s="1"/>
      <c r="Z52" s="1"/>
    </row>
    <row r="53" customFormat="false" ht="15.75" hidden="false" customHeight="true" outlineLevel="0" collapsed="false">
      <c r="G53" s="1"/>
      <c r="H53" s="1"/>
      <c r="I53" s="1"/>
      <c r="J53" s="1"/>
      <c r="K53" s="1"/>
      <c r="L53" s="1"/>
      <c r="M53" s="1"/>
      <c r="N53" s="1"/>
      <c r="O53" s="1"/>
      <c r="P53" s="1"/>
      <c r="Q53" s="1"/>
      <c r="R53" s="1"/>
      <c r="S53" s="1"/>
      <c r="T53" s="1"/>
      <c r="U53" s="1"/>
      <c r="V53" s="1"/>
      <c r="W53" s="1"/>
      <c r="X53" s="1"/>
      <c r="Y53" s="1"/>
      <c r="Z53" s="1"/>
    </row>
    <row r="54" customFormat="false" ht="15.75" hidden="false" customHeight="true" outlineLevel="0" collapsed="false">
      <c r="G54" s="1"/>
      <c r="H54" s="1"/>
      <c r="I54" s="1"/>
      <c r="J54" s="1"/>
      <c r="K54" s="1"/>
      <c r="L54" s="1"/>
      <c r="M54" s="1"/>
      <c r="N54" s="1"/>
      <c r="O54" s="1"/>
      <c r="P54" s="1"/>
      <c r="Q54" s="1"/>
      <c r="R54" s="1"/>
      <c r="S54" s="1"/>
      <c r="T54" s="1"/>
      <c r="U54" s="1"/>
      <c r="V54" s="1"/>
      <c r="W54" s="1"/>
      <c r="X54" s="1"/>
      <c r="Y54" s="1"/>
      <c r="Z54" s="1"/>
    </row>
    <row r="55" customFormat="false" ht="15.75" hidden="false" customHeight="true" outlineLevel="0" collapsed="false">
      <c r="G55" s="1"/>
      <c r="H55" s="1"/>
      <c r="I55" s="1"/>
      <c r="J55" s="1"/>
      <c r="K55" s="1"/>
      <c r="L55" s="1"/>
      <c r="M55" s="1"/>
      <c r="N55" s="1"/>
      <c r="O55" s="1"/>
      <c r="P55" s="1"/>
      <c r="Q55" s="1"/>
      <c r="R55" s="1"/>
      <c r="S55" s="1"/>
      <c r="T55" s="1"/>
      <c r="U55" s="1"/>
      <c r="V55" s="1"/>
      <c r="W55" s="1"/>
      <c r="X55" s="1"/>
      <c r="Y55" s="1"/>
      <c r="Z55" s="1"/>
    </row>
    <row r="56" customFormat="false" ht="15.75" hidden="false" customHeight="true" outlineLevel="0" collapsed="false">
      <c r="G56" s="1"/>
      <c r="H56" s="1"/>
      <c r="I56" s="1"/>
      <c r="J56" s="1"/>
      <c r="K56" s="1"/>
      <c r="L56" s="1"/>
      <c r="M56" s="1"/>
      <c r="N56" s="1"/>
      <c r="O56" s="1"/>
      <c r="P56" s="1"/>
      <c r="Q56" s="1"/>
      <c r="R56" s="1"/>
      <c r="S56" s="1"/>
      <c r="T56" s="1"/>
      <c r="U56" s="1"/>
      <c r="V56" s="1"/>
      <c r="W56" s="1"/>
      <c r="X56" s="1"/>
      <c r="Y56" s="1"/>
      <c r="Z56" s="1"/>
    </row>
    <row r="57" customFormat="false" ht="15.75" hidden="false" customHeight="true" outlineLevel="0" collapsed="false">
      <c r="G57" s="1"/>
      <c r="H57" s="1"/>
      <c r="I57" s="1"/>
      <c r="J57" s="1"/>
      <c r="K57" s="1"/>
      <c r="L57" s="1"/>
      <c r="M57" s="1"/>
      <c r="N57" s="1"/>
      <c r="O57" s="1"/>
      <c r="P57" s="1"/>
      <c r="Q57" s="1"/>
      <c r="R57" s="1"/>
      <c r="S57" s="1"/>
      <c r="T57" s="1"/>
      <c r="U57" s="1"/>
      <c r="V57" s="1"/>
      <c r="W57" s="1"/>
      <c r="X57" s="1"/>
      <c r="Y57" s="1"/>
      <c r="Z57" s="1"/>
    </row>
    <row r="58" customFormat="false" ht="15.75" hidden="false" customHeight="true" outlineLevel="0" collapsed="false">
      <c r="G58" s="1"/>
      <c r="H58" s="1"/>
      <c r="I58" s="1"/>
      <c r="J58" s="1"/>
      <c r="K58" s="1"/>
      <c r="L58" s="1"/>
      <c r="M58" s="1"/>
      <c r="N58" s="1"/>
      <c r="O58" s="1"/>
      <c r="P58" s="1"/>
      <c r="Q58" s="1"/>
      <c r="R58" s="1"/>
      <c r="S58" s="1"/>
      <c r="T58" s="1"/>
      <c r="U58" s="1"/>
      <c r="V58" s="1"/>
      <c r="W58" s="1"/>
      <c r="X58" s="1"/>
      <c r="Y58" s="1"/>
      <c r="Z58" s="1"/>
    </row>
    <row r="59" customFormat="false" ht="15.75" hidden="false" customHeight="true" outlineLevel="0" collapsed="false">
      <c r="G59" s="1"/>
      <c r="H59" s="1"/>
      <c r="I59" s="1"/>
      <c r="J59" s="1"/>
      <c r="K59" s="1"/>
      <c r="L59" s="1"/>
      <c r="M59" s="1"/>
      <c r="N59" s="1"/>
      <c r="O59" s="1"/>
      <c r="P59" s="1"/>
      <c r="Q59" s="1"/>
      <c r="R59" s="1"/>
      <c r="S59" s="1"/>
      <c r="T59" s="1"/>
      <c r="U59" s="1"/>
      <c r="V59" s="1"/>
      <c r="W59" s="1"/>
      <c r="X59" s="1"/>
      <c r="Y59" s="1"/>
      <c r="Z59" s="1"/>
    </row>
    <row r="60" customFormat="false" ht="15.75" hidden="false" customHeight="true" outlineLevel="0" collapsed="false">
      <c r="G60" s="1"/>
      <c r="H60" s="1"/>
      <c r="I60" s="1"/>
      <c r="J60" s="1"/>
      <c r="K60" s="1"/>
      <c r="L60" s="1"/>
      <c r="M60" s="1"/>
      <c r="N60" s="1"/>
      <c r="O60" s="1"/>
      <c r="P60" s="1"/>
      <c r="Q60" s="1"/>
      <c r="R60" s="1"/>
      <c r="S60" s="1"/>
      <c r="T60" s="1"/>
      <c r="U60" s="1"/>
      <c r="V60" s="1"/>
      <c r="W60" s="1"/>
      <c r="X60" s="1"/>
      <c r="Y60" s="1"/>
      <c r="Z60" s="1"/>
    </row>
    <row r="61" customFormat="false" ht="15.75" hidden="false" customHeight="true" outlineLevel="0" collapsed="false">
      <c r="G61" s="1"/>
      <c r="H61" s="1"/>
      <c r="I61" s="1"/>
      <c r="J61" s="1"/>
      <c r="K61" s="1"/>
      <c r="L61" s="1"/>
      <c r="M61" s="1"/>
      <c r="N61" s="1"/>
      <c r="O61" s="1"/>
      <c r="P61" s="1"/>
      <c r="Q61" s="1"/>
      <c r="R61" s="1"/>
      <c r="S61" s="1"/>
      <c r="T61" s="1"/>
      <c r="U61" s="1"/>
      <c r="V61" s="1"/>
      <c r="W61" s="1"/>
      <c r="X61" s="1"/>
      <c r="Y61" s="1"/>
      <c r="Z61" s="1"/>
    </row>
    <row r="62" customFormat="false" ht="15.75" hidden="false" customHeight="true" outlineLevel="0" collapsed="false">
      <c r="G62" s="1"/>
      <c r="H62" s="1"/>
      <c r="I62" s="1"/>
      <c r="J62" s="1"/>
      <c r="K62" s="1"/>
      <c r="L62" s="1"/>
      <c r="M62" s="1"/>
      <c r="N62" s="1"/>
      <c r="O62" s="1"/>
      <c r="P62" s="1"/>
      <c r="Q62" s="1"/>
      <c r="R62" s="1"/>
      <c r="S62" s="1"/>
      <c r="T62" s="1"/>
      <c r="U62" s="1"/>
      <c r="V62" s="1"/>
      <c r="W62" s="1"/>
      <c r="X62" s="1"/>
      <c r="Y62" s="1"/>
      <c r="Z62" s="1"/>
    </row>
    <row r="63" customFormat="false" ht="15.75" hidden="false" customHeight="true" outlineLevel="0" collapsed="false">
      <c r="G63" s="1"/>
      <c r="H63" s="1"/>
      <c r="I63" s="1"/>
      <c r="J63" s="1"/>
      <c r="K63" s="1"/>
      <c r="L63" s="1"/>
      <c r="M63" s="1"/>
      <c r="N63" s="1"/>
      <c r="O63" s="1"/>
      <c r="P63" s="1"/>
      <c r="Q63" s="1"/>
      <c r="R63" s="1"/>
      <c r="S63" s="1"/>
      <c r="T63" s="1"/>
      <c r="U63" s="1"/>
      <c r="V63" s="1"/>
      <c r="W63" s="1"/>
      <c r="X63" s="1"/>
      <c r="Y63" s="1"/>
      <c r="Z63" s="1"/>
    </row>
    <row r="64" customFormat="false" ht="15.75" hidden="false" customHeight="true" outlineLevel="0" collapsed="false">
      <c r="G64" s="1"/>
      <c r="H64" s="1"/>
      <c r="I64" s="1"/>
      <c r="J64" s="1"/>
      <c r="K64" s="1"/>
      <c r="L64" s="1"/>
      <c r="M64" s="1"/>
      <c r="N64" s="1"/>
      <c r="O64" s="1"/>
      <c r="P64" s="1"/>
      <c r="Q64" s="1"/>
      <c r="R64" s="1"/>
      <c r="S64" s="1"/>
      <c r="T64" s="1"/>
      <c r="U64" s="1"/>
      <c r="V64" s="1"/>
      <c r="W64" s="1"/>
      <c r="X64" s="1"/>
      <c r="Y64" s="1"/>
      <c r="Z64" s="1"/>
    </row>
    <row r="65" customFormat="false" ht="15.75" hidden="false" customHeight="true" outlineLevel="0" collapsed="false">
      <c r="G65" s="1"/>
      <c r="H65" s="1"/>
      <c r="I65" s="1"/>
      <c r="J65" s="1"/>
      <c r="K65" s="1"/>
      <c r="L65" s="1"/>
      <c r="M65" s="1"/>
      <c r="N65" s="1"/>
      <c r="O65" s="1"/>
      <c r="P65" s="1"/>
      <c r="Q65" s="1"/>
      <c r="R65" s="1"/>
      <c r="S65" s="1"/>
      <c r="T65" s="1"/>
      <c r="U65" s="1"/>
      <c r="V65" s="1"/>
      <c r="W65" s="1"/>
      <c r="X65" s="1"/>
      <c r="Y65" s="1"/>
      <c r="Z65" s="1"/>
    </row>
    <row r="66" customFormat="false" ht="15.75" hidden="false" customHeight="true" outlineLevel="0" collapsed="false">
      <c r="G66" s="1"/>
      <c r="H66" s="1"/>
      <c r="I66" s="1"/>
      <c r="J66" s="1"/>
      <c r="K66" s="1"/>
      <c r="L66" s="1"/>
      <c r="M66" s="1"/>
      <c r="N66" s="1"/>
      <c r="O66" s="1"/>
      <c r="P66" s="1"/>
      <c r="Q66" s="1"/>
      <c r="R66" s="1"/>
      <c r="S66" s="1"/>
      <c r="T66" s="1"/>
      <c r="U66" s="1"/>
      <c r="V66" s="1"/>
      <c r="W66" s="1"/>
      <c r="X66" s="1"/>
      <c r="Y66" s="1"/>
      <c r="Z66" s="1"/>
    </row>
    <row r="67" customFormat="false" ht="15.75" hidden="false" customHeight="true" outlineLevel="0" collapsed="false">
      <c r="G67" s="1"/>
      <c r="H67" s="1"/>
      <c r="I67" s="1"/>
      <c r="J67" s="1"/>
      <c r="K67" s="1"/>
      <c r="L67" s="1"/>
      <c r="M67" s="1"/>
      <c r="N67" s="1"/>
      <c r="O67" s="1"/>
      <c r="P67" s="1"/>
      <c r="Q67" s="1"/>
      <c r="R67" s="1"/>
      <c r="S67" s="1"/>
      <c r="T67" s="1"/>
      <c r="U67" s="1"/>
      <c r="V67" s="1"/>
      <c r="W67" s="1"/>
      <c r="X67" s="1"/>
      <c r="Y67" s="1"/>
      <c r="Z67" s="1"/>
    </row>
    <row r="68" customFormat="false" ht="15.75" hidden="false" customHeight="true" outlineLevel="0" collapsed="false">
      <c r="G68" s="1"/>
      <c r="H68" s="1"/>
      <c r="I68" s="1"/>
      <c r="J68" s="1"/>
      <c r="K68" s="1"/>
      <c r="L68" s="1"/>
      <c r="M68" s="1"/>
      <c r="N68" s="1"/>
      <c r="O68" s="1"/>
      <c r="P68" s="1"/>
      <c r="Q68" s="1"/>
      <c r="R68" s="1"/>
      <c r="S68" s="1"/>
      <c r="T68" s="1"/>
      <c r="U68" s="1"/>
      <c r="V68" s="1"/>
      <c r="W68" s="1"/>
      <c r="X68" s="1"/>
      <c r="Y68" s="1"/>
      <c r="Z68" s="1"/>
    </row>
    <row r="69" customFormat="false" ht="15.75" hidden="false" customHeight="true" outlineLevel="0" collapsed="false">
      <c r="G69" s="1"/>
      <c r="H69" s="1"/>
      <c r="I69" s="1"/>
      <c r="J69" s="1"/>
      <c r="K69" s="1"/>
      <c r="L69" s="1"/>
      <c r="M69" s="1"/>
      <c r="N69" s="1"/>
      <c r="O69" s="1"/>
      <c r="P69" s="1"/>
      <c r="Q69" s="1"/>
      <c r="R69" s="1"/>
      <c r="S69" s="1"/>
      <c r="T69" s="1"/>
      <c r="U69" s="1"/>
      <c r="V69" s="1"/>
      <c r="W69" s="1"/>
      <c r="X69" s="1"/>
      <c r="Y69" s="1"/>
      <c r="Z69" s="1"/>
    </row>
    <row r="70" customFormat="false" ht="15.75" hidden="false" customHeight="true" outlineLevel="0" collapsed="false">
      <c r="G70" s="1"/>
      <c r="H70" s="1"/>
      <c r="I70" s="1"/>
      <c r="J70" s="1"/>
      <c r="K70" s="1"/>
      <c r="L70" s="1"/>
      <c r="M70" s="1"/>
      <c r="N70" s="1"/>
      <c r="O70" s="1"/>
      <c r="P70" s="1"/>
      <c r="Q70" s="1"/>
      <c r="R70" s="1"/>
      <c r="S70" s="1"/>
      <c r="T70" s="1"/>
      <c r="U70" s="1"/>
      <c r="V70" s="1"/>
      <c r="W70" s="1"/>
      <c r="X70" s="1"/>
      <c r="Y70" s="1"/>
      <c r="Z70" s="1"/>
    </row>
    <row r="71" customFormat="false" ht="15.75" hidden="false" customHeight="true" outlineLevel="0" collapsed="false">
      <c r="G71" s="1"/>
      <c r="H71" s="1"/>
      <c r="I71" s="1"/>
      <c r="J71" s="1"/>
      <c r="K71" s="1"/>
      <c r="L71" s="1"/>
      <c r="M71" s="1"/>
      <c r="N71" s="1"/>
      <c r="O71" s="1"/>
      <c r="P71" s="1"/>
      <c r="Q71" s="1"/>
      <c r="R71" s="1"/>
      <c r="S71" s="1"/>
      <c r="T71" s="1"/>
      <c r="U71" s="1"/>
      <c r="V71" s="1"/>
      <c r="W71" s="1"/>
      <c r="X71" s="1"/>
      <c r="Y71" s="1"/>
      <c r="Z71" s="1"/>
    </row>
    <row r="72" customFormat="false" ht="15.75" hidden="false" customHeight="true" outlineLevel="0" collapsed="false">
      <c r="G72" s="1"/>
      <c r="H72" s="1"/>
      <c r="I72" s="1"/>
      <c r="J72" s="1"/>
      <c r="K72" s="1"/>
      <c r="L72" s="1"/>
      <c r="M72" s="1"/>
      <c r="N72" s="1"/>
      <c r="O72" s="1"/>
      <c r="P72" s="1"/>
      <c r="Q72" s="1"/>
      <c r="R72" s="1"/>
      <c r="S72" s="1"/>
      <c r="T72" s="1"/>
      <c r="U72" s="1"/>
      <c r="V72" s="1"/>
      <c r="W72" s="1"/>
      <c r="X72" s="1"/>
      <c r="Y72" s="1"/>
      <c r="Z72" s="1"/>
    </row>
    <row r="73" customFormat="false" ht="15.75" hidden="false" customHeight="true" outlineLevel="0" collapsed="false">
      <c r="G73" s="1"/>
      <c r="H73" s="1"/>
      <c r="I73" s="1"/>
      <c r="J73" s="1"/>
      <c r="K73" s="1"/>
      <c r="L73" s="1"/>
      <c r="M73" s="1"/>
      <c r="N73" s="1"/>
      <c r="O73" s="1"/>
      <c r="P73" s="1"/>
      <c r="Q73" s="1"/>
      <c r="R73" s="1"/>
      <c r="S73" s="1"/>
      <c r="T73" s="1"/>
      <c r="U73" s="1"/>
      <c r="V73" s="1"/>
      <c r="W73" s="1"/>
      <c r="X73" s="1"/>
      <c r="Y73" s="1"/>
      <c r="Z73" s="1"/>
    </row>
    <row r="74" customFormat="false" ht="15.75" hidden="false" customHeight="true" outlineLevel="0" collapsed="false">
      <c r="G74" s="1"/>
      <c r="H74" s="1"/>
      <c r="I74" s="1"/>
      <c r="J74" s="1"/>
      <c r="K74" s="1"/>
      <c r="L74" s="1"/>
      <c r="M74" s="1"/>
      <c r="N74" s="1"/>
      <c r="O74" s="1"/>
      <c r="P74" s="1"/>
      <c r="Q74" s="1"/>
      <c r="R74" s="1"/>
      <c r="S74" s="1"/>
      <c r="T74" s="1"/>
      <c r="U74" s="1"/>
      <c r="V74" s="1"/>
      <c r="W74" s="1"/>
      <c r="X74" s="1"/>
      <c r="Y74" s="1"/>
      <c r="Z74" s="1"/>
    </row>
    <row r="75" customFormat="false" ht="15.75" hidden="false" customHeight="true" outlineLevel="0" collapsed="false">
      <c r="G75" s="1"/>
      <c r="H75" s="1"/>
      <c r="I75" s="1"/>
      <c r="J75" s="1"/>
      <c r="K75" s="1"/>
      <c r="L75" s="1"/>
      <c r="M75" s="1"/>
      <c r="N75" s="1"/>
      <c r="O75" s="1"/>
      <c r="P75" s="1"/>
      <c r="Q75" s="1"/>
      <c r="R75" s="1"/>
      <c r="S75" s="1"/>
      <c r="T75" s="1"/>
      <c r="U75" s="1"/>
      <c r="V75" s="1"/>
      <c r="W75" s="1"/>
      <c r="X75" s="1"/>
      <c r="Y75" s="1"/>
      <c r="Z75" s="1"/>
    </row>
    <row r="76" customFormat="false" ht="15.75" hidden="false" customHeight="true" outlineLevel="0" collapsed="false">
      <c r="G76" s="1"/>
      <c r="H76" s="1"/>
      <c r="I76" s="1"/>
      <c r="J76" s="1"/>
      <c r="K76" s="1"/>
      <c r="L76" s="1"/>
      <c r="M76" s="1"/>
      <c r="N76" s="1"/>
      <c r="O76" s="1"/>
      <c r="P76" s="1"/>
      <c r="Q76" s="1"/>
      <c r="R76" s="1"/>
      <c r="S76" s="1"/>
      <c r="T76" s="1"/>
      <c r="U76" s="1"/>
      <c r="V76" s="1"/>
      <c r="W76" s="1"/>
      <c r="X76" s="1"/>
      <c r="Y76" s="1"/>
      <c r="Z76" s="1"/>
    </row>
    <row r="77" customFormat="false" ht="15.75" hidden="false" customHeight="true" outlineLevel="0" collapsed="false">
      <c r="G77" s="1"/>
      <c r="H77" s="1"/>
      <c r="I77" s="1"/>
      <c r="J77" s="1"/>
      <c r="K77" s="1"/>
      <c r="L77" s="1"/>
      <c r="M77" s="1"/>
      <c r="N77" s="1"/>
      <c r="O77" s="1"/>
      <c r="P77" s="1"/>
      <c r="Q77" s="1"/>
      <c r="R77" s="1"/>
      <c r="S77" s="1"/>
      <c r="T77" s="1"/>
      <c r="U77" s="1"/>
      <c r="V77" s="1"/>
      <c r="W77" s="1"/>
      <c r="X77" s="1"/>
      <c r="Y77" s="1"/>
      <c r="Z77" s="1"/>
    </row>
    <row r="78" customFormat="false" ht="15.75" hidden="false" customHeight="true" outlineLevel="0" collapsed="false">
      <c r="G78" s="1"/>
      <c r="H78" s="1"/>
      <c r="I78" s="1"/>
      <c r="J78" s="1"/>
      <c r="K78" s="1"/>
      <c r="L78" s="1"/>
      <c r="M78" s="1"/>
      <c r="N78" s="1"/>
      <c r="O78" s="1"/>
      <c r="P78" s="1"/>
      <c r="Q78" s="1"/>
      <c r="R78" s="1"/>
      <c r="S78" s="1"/>
      <c r="T78" s="1"/>
      <c r="U78" s="1"/>
      <c r="V78" s="1"/>
      <c r="W78" s="1"/>
      <c r="X78" s="1"/>
      <c r="Y78" s="1"/>
      <c r="Z78" s="1"/>
    </row>
    <row r="79" customFormat="false" ht="15.75" hidden="false" customHeight="true" outlineLevel="0" collapsed="false">
      <c r="G79" s="1"/>
      <c r="H79" s="1"/>
      <c r="I79" s="1"/>
      <c r="J79" s="1"/>
      <c r="K79" s="1"/>
      <c r="L79" s="1"/>
      <c r="M79" s="1"/>
      <c r="N79" s="1"/>
      <c r="O79" s="1"/>
      <c r="P79" s="1"/>
      <c r="Q79" s="1"/>
      <c r="R79" s="1"/>
      <c r="S79" s="1"/>
      <c r="T79" s="1"/>
      <c r="U79" s="1"/>
      <c r="V79" s="1"/>
      <c r="W79" s="1"/>
      <c r="X79" s="1"/>
      <c r="Y79" s="1"/>
      <c r="Z79" s="1"/>
    </row>
    <row r="80" customFormat="false" ht="15.75" hidden="false" customHeight="true" outlineLevel="0" collapsed="false">
      <c r="G80" s="1"/>
      <c r="H80" s="1"/>
      <c r="I80" s="1"/>
      <c r="J80" s="1"/>
      <c r="K80" s="1"/>
      <c r="L80" s="1"/>
      <c r="M80" s="1"/>
      <c r="N80" s="1"/>
      <c r="O80" s="1"/>
      <c r="P80" s="1"/>
      <c r="Q80" s="1"/>
      <c r="R80" s="1"/>
      <c r="S80" s="1"/>
      <c r="T80" s="1"/>
      <c r="U80" s="1"/>
      <c r="V80" s="1"/>
      <c r="W80" s="1"/>
      <c r="X80" s="1"/>
      <c r="Y80" s="1"/>
      <c r="Z80" s="1"/>
    </row>
    <row r="81" customFormat="false" ht="15.75" hidden="false" customHeight="true" outlineLevel="0" collapsed="false">
      <c r="G81" s="1"/>
      <c r="H81" s="1"/>
      <c r="I81" s="1"/>
      <c r="J81" s="1"/>
      <c r="K81" s="1"/>
      <c r="L81" s="1"/>
      <c r="M81" s="1"/>
      <c r="N81" s="1"/>
      <c r="O81" s="1"/>
      <c r="P81" s="1"/>
      <c r="Q81" s="1"/>
      <c r="R81" s="1"/>
      <c r="S81" s="1"/>
      <c r="T81" s="1"/>
      <c r="U81" s="1"/>
      <c r="V81" s="1"/>
      <c r="W81" s="1"/>
      <c r="X81" s="1"/>
      <c r="Y81" s="1"/>
      <c r="Z81" s="1"/>
    </row>
    <row r="82" customFormat="false" ht="15.75" hidden="false" customHeight="true" outlineLevel="0" collapsed="false">
      <c r="G82" s="1"/>
      <c r="H82" s="1"/>
      <c r="I82" s="1"/>
      <c r="J82" s="1"/>
      <c r="K82" s="1"/>
      <c r="L82" s="1"/>
      <c r="M82" s="1"/>
      <c r="N82" s="1"/>
      <c r="O82" s="1"/>
      <c r="P82" s="1"/>
      <c r="Q82" s="1"/>
      <c r="R82" s="1"/>
      <c r="S82" s="1"/>
      <c r="T82" s="1"/>
      <c r="U82" s="1"/>
      <c r="V82" s="1"/>
      <c r="W82" s="1"/>
      <c r="X82" s="1"/>
      <c r="Y82" s="1"/>
      <c r="Z82" s="1"/>
    </row>
    <row r="83" customFormat="false" ht="15.75" hidden="false" customHeight="true" outlineLevel="0" collapsed="false">
      <c r="G83" s="1"/>
      <c r="H83" s="1"/>
      <c r="I83" s="1"/>
      <c r="J83" s="1"/>
      <c r="K83" s="1"/>
      <c r="L83" s="1"/>
      <c r="M83" s="1"/>
      <c r="N83" s="1"/>
      <c r="O83" s="1"/>
      <c r="P83" s="1"/>
      <c r="Q83" s="1"/>
      <c r="R83" s="1"/>
      <c r="S83" s="1"/>
      <c r="T83" s="1"/>
      <c r="U83" s="1"/>
      <c r="V83" s="1"/>
      <c r="W83" s="1"/>
      <c r="X83" s="1"/>
      <c r="Y83" s="1"/>
      <c r="Z83" s="1"/>
    </row>
    <row r="84" customFormat="false" ht="15.75" hidden="false" customHeight="true" outlineLevel="0" collapsed="false">
      <c r="G84" s="1"/>
      <c r="H84" s="1"/>
      <c r="I84" s="1"/>
      <c r="J84" s="1"/>
      <c r="K84" s="1"/>
      <c r="L84" s="1"/>
      <c r="M84" s="1"/>
      <c r="N84" s="1"/>
      <c r="O84" s="1"/>
      <c r="P84" s="1"/>
      <c r="Q84" s="1"/>
      <c r="R84" s="1"/>
      <c r="S84" s="1"/>
      <c r="T84" s="1"/>
      <c r="U84" s="1"/>
      <c r="V84" s="1"/>
      <c r="W84" s="1"/>
      <c r="X84" s="1"/>
      <c r="Y84" s="1"/>
      <c r="Z84" s="1"/>
    </row>
    <row r="85" customFormat="false" ht="15.75" hidden="false" customHeight="true" outlineLevel="0" collapsed="false">
      <c r="G85" s="1"/>
      <c r="H85" s="1"/>
      <c r="I85" s="1"/>
      <c r="J85" s="1"/>
      <c r="K85" s="1"/>
      <c r="L85" s="1"/>
      <c r="M85" s="1"/>
      <c r="N85" s="1"/>
      <c r="O85" s="1"/>
      <c r="P85" s="1"/>
      <c r="Q85" s="1"/>
      <c r="R85" s="1"/>
      <c r="S85" s="1"/>
      <c r="T85" s="1"/>
      <c r="U85" s="1"/>
      <c r="V85" s="1"/>
      <c r="W85" s="1"/>
      <c r="X85" s="1"/>
      <c r="Y85" s="1"/>
      <c r="Z85" s="1"/>
    </row>
    <row r="86" customFormat="false" ht="15.75" hidden="false" customHeight="true" outlineLevel="0" collapsed="false">
      <c r="G86" s="1"/>
      <c r="H86" s="1"/>
      <c r="I86" s="1"/>
      <c r="J86" s="1"/>
      <c r="K86" s="1"/>
      <c r="L86" s="1"/>
      <c r="M86" s="1"/>
      <c r="N86" s="1"/>
      <c r="O86" s="1"/>
      <c r="P86" s="1"/>
      <c r="Q86" s="1"/>
      <c r="R86" s="1"/>
      <c r="S86" s="1"/>
      <c r="T86" s="1"/>
      <c r="U86" s="1"/>
      <c r="V86" s="1"/>
      <c r="W86" s="1"/>
      <c r="X86" s="1"/>
      <c r="Y86" s="1"/>
      <c r="Z86" s="1"/>
    </row>
    <row r="87" customFormat="false" ht="15.75" hidden="false" customHeight="true" outlineLevel="0" collapsed="false">
      <c r="G87" s="1"/>
      <c r="H87" s="1"/>
      <c r="I87" s="1"/>
      <c r="J87" s="1"/>
      <c r="K87" s="1"/>
      <c r="L87" s="1"/>
      <c r="M87" s="1"/>
      <c r="N87" s="1"/>
      <c r="O87" s="1"/>
      <c r="P87" s="1"/>
      <c r="Q87" s="1"/>
      <c r="R87" s="1"/>
      <c r="S87" s="1"/>
      <c r="T87" s="1"/>
      <c r="U87" s="1"/>
      <c r="V87" s="1"/>
      <c r="W87" s="1"/>
      <c r="X87" s="1"/>
      <c r="Y87" s="1"/>
      <c r="Z87" s="1"/>
    </row>
    <row r="88" customFormat="false" ht="15.75" hidden="false" customHeight="true" outlineLevel="0" collapsed="false">
      <c r="G88" s="1"/>
      <c r="H88" s="1"/>
      <c r="I88" s="1"/>
      <c r="J88" s="1"/>
      <c r="K88" s="1"/>
      <c r="L88" s="1"/>
      <c r="M88" s="1"/>
      <c r="N88" s="1"/>
      <c r="O88" s="1"/>
      <c r="P88" s="1"/>
      <c r="Q88" s="1"/>
      <c r="R88" s="1"/>
      <c r="S88" s="1"/>
      <c r="T88" s="1"/>
      <c r="U88" s="1"/>
      <c r="V88" s="1"/>
      <c r="W88" s="1"/>
      <c r="X88" s="1"/>
      <c r="Y88" s="1"/>
      <c r="Z88" s="1"/>
    </row>
    <row r="89" customFormat="false" ht="15.75" hidden="false" customHeight="true" outlineLevel="0" collapsed="false">
      <c r="G89" s="1"/>
      <c r="H89" s="1"/>
      <c r="I89" s="1"/>
      <c r="J89" s="1"/>
      <c r="K89" s="1"/>
      <c r="L89" s="1"/>
      <c r="M89" s="1"/>
      <c r="N89" s="1"/>
      <c r="O89" s="1"/>
      <c r="P89" s="1"/>
      <c r="Q89" s="1"/>
      <c r="R89" s="1"/>
      <c r="S89" s="1"/>
      <c r="T89" s="1"/>
      <c r="U89" s="1"/>
      <c r="V89" s="1"/>
      <c r="W89" s="1"/>
      <c r="X89" s="1"/>
      <c r="Y89" s="1"/>
      <c r="Z89" s="1"/>
    </row>
    <row r="90" customFormat="false" ht="15.75" hidden="false" customHeight="true" outlineLevel="0" collapsed="false">
      <c r="G90" s="1"/>
      <c r="H90" s="1"/>
      <c r="I90" s="1"/>
      <c r="J90" s="1"/>
      <c r="K90" s="1"/>
      <c r="L90" s="1"/>
      <c r="M90" s="1"/>
      <c r="N90" s="1"/>
      <c r="O90" s="1"/>
      <c r="P90" s="1"/>
      <c r="Q90" s="1"/>
      <c r="R90" s="1"/>
      <c r="S90" s="1"/>
      <c r="T90" s="1"/>
      <c r="U90" s="1"/>
      <c r="V90" s="1"/>
      <c r="W90" s="1"/>
      <c r="X90" s="1"/>
      <c r="Y90" s="1"/>
      <c r="Z90" s="1"/>
    </row>
    <row r="91" customFormat="false" ht="15.75" hidden="false" customHeight="true" outlineLevel="0" collapsed="false">
      <c r="G91" s="1"/>
      <c r="H91" s="1"/>
      <c r="I91" s="1"/>
      <c r="J91" s="1"/>
      <c r="K91" s="1"/>
      <c r="L91" s="1"/>
      <c r="M91" s="1"/>
      <c r="N91" s="1"/>
      <c r="O91" s="1"/>
      <c r="P91" s="1"/>
      <c r="Q91" s="1"/>
      <c r="R91" s="1"/>
      <c r="S91" s="1"/>
      <c r="T91" s="1"/>
      <c r="U91" s="1"/>
      <c r="V91" s="1"/>
      <c r="W91" s="1"/>
      <c r="X91" s="1"/>
      <c r="Y91" s="1"/>
      <c r="Z91" s="1"/>
    </row>
    <row r="92" customFormat="false" ht="15.75" hidden="false" customHeight="true" outlineLevel="0" collapsed="false">
      <c r="G92" s="1"/>
      <c r="H92" s="1"/>
      <c r="I92" s="1"/>
      <c r="J92" s="1"/>
      <c r="K92" s="1"/>
      <c r="L92" s="1"/>
      <c r="M92" s="1"/>
      <c r="N92" s="1"/>
      <c r="O92" s="1"/>
      <c r="P92" s="1"/>
      <c r="Q92" s="1"/>
      <c r="R92" s="1"/>
      <c r="S92" s="1"/>
      <c r="T92" s="1"/>
      <c r="U92" s="1"/>
      <c r="V92" s="1"/>
      <c r="W92" s="1"/>
      <c r="X92" s="1"/>
      <c r="Y92" s="1"/>
      <c r="Z92" s="1"/>
    </row>
    <row r="93" customFormat="false" ht="15.75" hidden="false" customHeight="true" outlineLevel="0" collapsed="false">
      <c r="G93" s="1"/>
      <c r="H93" s="1"/>
      <c r="I93" s="1"/>
      <c r="J93" s="1"/>
      <c r="K93" s="1"/>
      <c r="L93" s="1"/>
      <c r="M93" s="1"/>
      <c r="N93" s="1"/>
      <c r="O93" s="1"/>
      <c r="P93" s="1"/>
      <c r="Q93" s="1"/>
      <c r="R93" s="1"/>
      <c r="S93" s="1"/>
      <c r="T93" s="1"/>
      <c r="U93" s="1"/>
      <c r="V93" s="1"/>
      <c r="W93" s="1"/>
      <c r="X93" s="1"/>
      <c r="Y93" s="1"/>
      <c r="Z93" s="1"/>
    </row>
    <row r="94" customFormat="false" ht="15.75" hidden="false" customHeight="true" outlineLevel="0" collapsed="false">
      <c r="G94" s="1"/>
      <c r="H94" s="1"/>
      <c r="I94" s="1"/>
      <c r="J94" s="1"/>
      <c r="K94" s="1"/>
      <c r="L94" s="1"/>
      <c r="M94" s="1"/>
      <c r="N94" s="1"/>
      <c r="O94" s="1"/>
      <c r="P94" s="1"/>
      <c r="Q94" s="1"/>
      <c r="R94" s="1"/>
      <c r="S94" s="1"/>
      <c r="T94" s="1"/>
      <c r="U94" s="1"/>
      <c r="V94" s="1"/>
      <c r="W94" s="1"/>
      <c r="X94" s="1"/>
      <c r="Y94" s="1"/>
      <c r="Z94" s="1"/>
    </row>
    <row r="95" customFormat="false" ht="15.75" hidden="false" customHeight="true" outlineLevel="0" collapsed="false">
      <c r="G95" s="1"/>
      <c r="H95" s="1"/>
      <c r="I95" s="1"/>
      <c r="J95" s="1"/>
      <c r="K95" s="1"/>
      <c r="L95" s="1"/>
      <c r="M95" s="1"/>
      <c r="N95" s="1"/>
      <c r="O95" s="1"/>
      <c r="P95" s="1"/>
      <c r="Q95" s="1"/>
      <c r="R95" s="1"/>
      <c r="S95" s="1"/>
      <c r="T95" s="1"/>
      <c r="U95" s="1"/>
      <c r="V95" s="1"/>
      <c r="W95" s="1"/>
      <c r="X95" s="1"/>
      <c r="Y95" s="1"/>
      <c r="Z95" s="1"/>
    </row>
    <row r="96" customFormat="false" ht="15.75" hidden="false" customHeight="true" outlineLevel="0" collapsed="false">
      <c r="G96" s="1"/>
      <c r="H96" s="1"/>
      <c r="I96" s="1"/>
      <c r="J96" s="1"/>
      <c r="K96" s="1"/>
      <c r="L96" s="1"/>
      <c r="M96" s="1"/>
      <c r="N96" s="1"/>
      <c r="O96" s="1"/>
      <c r="P96" s="1"/>
      <c r="Q96" s="1"/>
      <c r="R96" s="1"/>
      <c r="S96" s="1"/>
      <c r="T96" s="1"/>
      <c r="U96" s="1"/>
      <c r="V96" s="1"/>
      <c r="W96" s="1"/>
      <c r="X96" s="1"/>
      <c r="Y96" s="1"/>
      <c r="Z96" s="1"/>
    </row>
    <row r="97" customFormat="false" ht="15.75" hidden="false" customHeight="true" outlineLevel="0" collapsed="false">
      <c r="G97" s="1"/>
      <c r="H97" s="1"/>
      <c r="I97" s="1"/>
      <c r="J97" s="1"/>
      <c r="K97" s="1"/>
      <c r="L97" s="1"/>
      <c r="M97" s="1"/>
      <c r="N97" s="1"/>
      <c r="O97" s="1"/>
      <c r="P97" s="1"/>
      <c r="Q97" s="1"/>
      <c r="R97" s="1"/>
      <c r="S97" s="1"/>
      <c r="T97" s="1"/>
      <c r="U97" s="1"/>
      <c r="V97" s="1"/>
      <c r="W97" s="1"/>
      <c r="X97" s="1"/>
      <c r="Y97" s="1"/>
      <c r="Z97" s="1"/>
    </row>
    <row r="98" customFormat="false" ht="15.75" hidden="false" customHeight="true" outlineLevel="0" collapsed="false">
      <c r="G98" s="1"/>
      <c r="H98" s="1"/>
      <c r="I98" s="1"/>
      <c r="J98" s="1"/>
      <c r="K98" s="1"/>
      <c r="L98" s="1"/>
      <c r="M98" s="1"/>
      <c r="N98" s="1"/>
      <c r="O98" s="1"/>
      <c r="P98" s="1"/>
      <c r="Q98" s="1"/>
      <c r="R98" s="1"/>
      <c r="S98" s="1"/>
      <c r="T98" s="1"/>
      <c r="U98" s="1"/>
      <c r="V98" s="1"/>
      <c r="W98" s="1"/>
      <c r="X98" s="1"/>
      <c r="Y98" s="1"/>
      <c r="Z98" s="1"/>
    </row>
    <row r="99" customFormat="false" ht="15.75" hidden="false" customHeight="true" outlineLevel="0" collapsed="false">
      <c r="G99" s="1"/>
      <c r="H99" s="1"/>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G100" s="1"/>
      <c r="H100" s="1"/>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G101" s="1"/>
      <c r="H101" s="1"/>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G102" s="1"/>
      <c r="H102" s="1"/>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G103" s="1"/>
      <c r="H103" s="1"/>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G104" s="1"/>
      <c r="H104" s="1"/>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G105" s="1"/>
      <c r="H105" s="1"/>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G106" s="1"/>
      <c r="H106" s="1"/>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G107" s="1"/>
      <c r="H107" s="1"/>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G108" s="1"/>
      <c r="H108" s="1"/>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G109" s="1"/>
      <c r="H109" s="1"/>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G110" s="1"/>
      <c r="H110" s="1"/>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G111" s="1"/>
      <c r="H111" s="1"/>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G112" s="1"/>
      <c r="H112" s="1"/>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G113" s="1"/>
      <c r="H113" s="1"/>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G114" s="1"/>
      <c r="H114" s="1"/>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G115" s="1"/>
      <c r="H115" s="1"/>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G116" s="1"/>
      <c r="H116" s="1"/>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G117" s="1"/>
      <c r="H117" s="1"/>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G118" s="1"/>
      <c r="H118" s="1"/>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G119" s="1"/>
      <c r="H119" s="1"/>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G120" s="1"/>
      <c r="H120" s="1"/>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G121" s="1"/>
      <c r="H121" s="1"/>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G122" s="1"/>
      <c r="H122" s="1"/>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G123" s="1"/>
      <c r="H123" s="1"/>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G124" s="1"/>
      <c r="H124" s="1"/>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G125" s="1"/>
      <c r="H125" s="1"/>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G126" s="1"/>
      <c r="H126" s="1"/>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G127" s="1"/>
      <c r="H127" s="1"/>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G128" s="1"/>
      <c r="H128" s="1"/>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G129" s="1"/>
      <c r="H129" s="1"/>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G130" s="1"/>
      <c r="H130" s="1"/>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G131" s="1"/>
      <c r="H131" s="1"/>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G132" s="1"/>
      <c r="H132" s="1"/>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G133" s="1"/>
      <c r="H133" s="1"/>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G134" s="1"/>
      <c r="H134" s="1"/>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G135" s="1"/>
      <c r="H135" s="1"/>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G136" s="1"/>
      <c r="H136" s="1"/>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G137" s="1"/>
      <c r="H137" s="1"/>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G138" s="1"/>
      <c r="H138" s="1"/>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G139" s="1"/>
      <c r="H139" s="1"/>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G140" s="1"/>
      <c r="H140" s="1"/>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G141" s="1"/>
      <c r="H141" s="1"/>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G142" s="1"/>
      <c r="H142" s="1"/>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G143" s="1"/>
      <c r="H143" s="1"/>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G144" s="1"/>
      <c r="H144" s="1"/>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G145" s="1"/>
      <c r="H145" s="1"/>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G146" s="1"/>
      <c r="H146" s="1"/>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G147" s="1"/>
      <c r="H147" s="1"/>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G148" s="1"/>
      <c r="H148" s="1"/>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G149" s="1"/>
      <c r="H149" s="1"/>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G150" s="1"/>
      <c r="H150" s="1"/>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G151" s="1"/>
      <c r="H151" s="1"/>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G152" s="1"/>
      <c r="H152" s="1"/>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G153" s="1"/>
      <c r="H153" s="1"/>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G154" s="1"/>
      <c r="H154" s="1"/>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G155" s="1"/>
      <c r="H155" s="1"/>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G156" s="1"/>
      <c r="H156" s="1"/>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G157" s="1"/>
      <c r="H157" s="1"/>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G158" s="1"/>
      <c r="H158" s="1"/>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G159" s="1"/>
      <c r="H159" s="1"/>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G160" s="1"/>
      <c r="H160" s="1"/>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G161" s="1"/>
      <c r="H161" s="1"/>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G162" s="1"/>
      <c r="H162" s="1"/>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G163" s="1"/>
      <c r="H163" s="1"/>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G164" s="1"/>
      <c r="H164" s="1"/>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G165" s="1"/>
      <c r="H165" s="1"/>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G166" s="1"/>
      <c r="H166" s="1"/>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G167" s="1"/>
      <c r="H167" s="1"/>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G168" s="1"/>
      <c r="H168" s="1"/>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G169" s="1"/>
      <c r="H169" s="1"/>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G170" s="1"/>
      <c r="H170" s="1"/>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G171" s="1"/>
      <c r="H171" s="1"/>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G172" s="1"/>
      <c r="H172" s="1"/>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G173" s="1"/>
      <c r="H173" s="1"/>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G174" s="1"/>
      <c r="H174" s="1"/>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G175" s="1"/>
      <c r="H175" s="1"/>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G176" s="1"/>
      <c r="H176" s="1"/>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G177" s="1"/>
      <c r="H177" s="1"/>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G178" s="1"/>
      <c r="H178" s="1"/>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G179" s="1"/>
      <c r="H179" s="1"/>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G180" s="1"/>
      <c r="H180" s="1"/>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G181" s="1"/>
      <c r="H181" s="1"/>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G182" s="1"/>
      <c r="H182" s="1"/>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G183" s="1"/>
      <c r="H183" s="1"/>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G184" s="1"/>
      <c r="H184" s="1"/>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G185" s="1"/>
      <c r="H185" s="1"/>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G186" s="1"/>
      <c r="H186" s="1"/>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G187" s="1"/>
      <c r="H187" s="1"/>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G188" s="1"/>
      <c r="H188" s="1"/>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G189" s="1"/>
      <c r="H189" s="1"/>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G190" s="1"/>
      <c r="H190" s="1"/>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G191" s="1"/>
      <c r="H191" s="1"/>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G192" s="1"/>
      <c r="H192" s="1"/>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G193" s="1"/>
      <c r="H193" s="1"/>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G194" s="1"/>
      <c r="H194" s="1"/>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G195" s="1"/>
      <c r="H195" s="1"/>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G196" s="1"/>
      <c r="H196" s="1"/>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G197" s="1"/>
      <c r="H197" s="1"/>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G198" s="1"/>
      <c r="H198" s="1"/>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G199" s="1"/>
      <c r="H199" s="1"/>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G200" s="1"/>
      <c r="H200" s="1"/>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G201" s="1"/>
      <c r="H201" s="1"/>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G202" s="1"/>
      <c r="H202" s="1"/>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G203" s="1"/>
      <c r="H203" s="1"/>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G204" s="1"/>
      <c r="H204" s="1"/>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G205" s="1"/>
      <c r="H205" s="1"/>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G206" s="1"/>
      <c r="H206" s="1"/>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G207" s="1"/>
      <c r="H207" s="1"/>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G208" s="1"/>
      <c r="H208" s="1"/>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G209" s="1"/>
      <c r="H209" s="1"/>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G210" s="1"/>
      <c r="H210" s="1"/>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G211" s="1"/>
      <c r="H211" s="1"/>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G212" s="1"/>
      <c r="H212" s="1"/>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G213" s="1"/>
      <c r="H213" s="1"/>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G214" s="1"/>
      <c r="H214" s="1"/>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G215" s="1"/>
      <c r="H215" s="1"/>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G216" s="1"/>
      <c r="H216" s="1"/>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G217" s="1"/>
      <c r="H217" s="1"/>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G218" s="1"/>
      <c r="H218" s="1"/>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G219" s="1"/>
      <c r="H219" s="1"/>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G220" s="1"/>
      <c r="H220" s="1"/>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G221" s="1"/>
      <c r="H221" s="1"/>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G222" s="1"/>
      <c r="H222" s="1"/>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G223" s="1"/>
      <c r="H223" s="1"/>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G224" s="1"/>
      <c r="H224" s="1"/>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G225" s="1"/>
      <c r="H225" s="1"/>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G226" s="1"/>
      <c r="H226" s="1"/>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G227" s="1"/>
      <c r="H227" s="1"/>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G228" s="1"/>
      <c r="H228" s="1"/>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G229" s="1"/>
      <c r="H229" s="1"/>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G230" s="1"/>
      <c r="H230" s="1"/>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G231" s="1"/>
      <c r="H231" s="1"/>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G232" s="1"/>
      <c r="H232" s="1"/>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G233" s="1"/>
      <c r="H233" s="1"/>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G234" s="1"/>
      <c r="H234" s="1"/>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G235" s="1"/>
      <c r="H235" s="1"/>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G236" s="1"/>
      <c r="H236" s="1"/>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G237" s="1"/>
      <c r="H237" s="1"/>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G238" s="1"/>
      <c r="H238" s="1"/>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G239" s="1"/>
      <c r="H239" s="1"/>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G240" s="1"/>
      <c r="H240" s="1"/>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G241" s="1"/>
      <c r="H241" s="1"/>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G242" s="1"/>
      <c r="H242" s="1"/>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G243" s="1"/>
      <c r="H243" s="1"/>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G244" s="1"/>
      <c r="H244" s="1"/>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G245" s="1"/>
      <c r="H245" s="1"/>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G246" s="1"/>
      <c r="H246" s="1"/>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G247" s="1"/>
      <c r="H247" s="1"/>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G248" s="1"/>
      <c r="H248" s="1"/>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G249" s="1"/>
      <c r="H249" s="1"/>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G250" s="1"/>
      <c r="H250" s="1"/>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G251" s="1"/>
      <c r="H251" s="1"/>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G252" s="1"/>
      <c r="H252" s="1"/>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G253" s="1"/>
      <c r="H253" s="1"/>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G254" s="1"/>
      <c r="H254" s="1"/>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G255" s="1"/>
      <c r="H255" s="1"/>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G256" s="1"/>
      <c r="H256" s="1"/>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G257" s="1"/>
      <c r="H257" s="1"/>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G258" s="1"/>
      <c r="H258" s="1"/>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G259" s="1"/>
      <c r="H259" s="1"/>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G260" s="1"/>
      <c r="H260" s="1"/>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G261" s="1"/>
      <c r="H261" s="1"/>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G262" s="1"/>
      <c r="H262" s="1"/>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G263" s="1"/>
      <c r="H263" s="1"/>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G264" s="1"/>
      <c r="H264" s="1"/>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G265" s="1"/>
      <c r="H265" s="1"/>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G266" s="1"/>
      <c r="H266" s="1"/>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G267" s="1"/>
      <c r="H267" s="1"/>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G268" s="1"/>
      <c r="H268" s="1"/>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G269" s="1"/>
      <c r="H269" s="1"/>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G270" s="1"/>
      <c r="H270" s="1"/>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G271" s="1"/>
      <c r="H271" s="1"/>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G272" s="1"/>
      <c r="H272" s="1"/>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G273" s="1"/>
      <c r="H273" s="1"/>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G274" s="1"/>
      <c r="H274" s="1"/>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G275" s="1"/>
      <c r="H275" s="1"/>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G276" s="1"/>
      <c r="H276" s="1"/>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G277" s="1"/>
      <c r="H277" s="1"/>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G278" s="1"/>
      <c r="H278" s="1"/>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G279" s="1"/>
      <c r="H279" s="1"/>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G280" s="1"/>
      <c r="H280" s="1"/>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G281" s="1"/>
      <c r="H281" s="1"/>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G282" s="1"/>
      <c r="H282" s="1"/>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G283" s="1"/>
      <c r="H283" s="1"/>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G284" s="1"/>
      <c r="H284" s="1"/>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G285" s="1"/>
      <c r="H285" s="1"/>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G286" s="1"/>
      <c r="H286" s="1"/>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G287" s="1"/>
      <c r="H287" s="1"/>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G288" s="1"/>
      <c r="H288" s="1"/>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G289" s="1"/>
      <c r="H289" s="1"/>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G290" s="1"/>
      <c r="H290" s="1"/>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G291" s="1"/>
      <c r="H291" s="1"/>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G292" s="1"/>
      <c r="H292" s="1"/>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G293" s="1"/>
      <c r="H293" s="1"/>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G294" s="1"/>
      <c r="H294" s="1"/>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G295" s="1"/>
      <c r="H295" s="1"/>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G296" s="1"/>
      <c r="H296" s="1"/>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G297" s="1"/>
      <c r="H297" s="1"/>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G298" s="1"/>
      <c r="H298" s="1"/>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G299" s="1"/>
      <c r="H299" s="1"/>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G300" s="1"/>
      <c r="H300" s="1"/>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G301" s="1"/>
      <c r="H301" s="1"/>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G302" s="1"/>
      <c r="H302" s="1"/>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G303" s="1"/>
      <c r="H303" s="1"/>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G304" s="1"/>
      <c r="H304" s="1"/>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G305" s="1"/>
      <c r="H305" s="1"/>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G306" s="1"/>
      <c r="H306" s="1"/>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G307" s="1"/>
      <c r="H307" s="1"/>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G308" s="1"/>
      <c r="H308" s="1"/>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G309" s="1"/>
      <c r="H309" s="1"/>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G310" s="1"/>
      <c r="H310" s="1"/>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G311" s="1"/>
      <c r="H311" s="1"/>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G312" s="1"/>
      <c r="H312" s="1"/>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G313" s="1"/>
      <c r="H313" s="1"/>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G314" s="1"/>
      <c r="H314" s="1"/>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G315" s="1"/>
      <c r="H315" s="1"/>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G316" s="1"/>
      <c r="H316" s="1"/>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G317" s="1"/>
      <c r="H317" s="1"/>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G318" s="1"/>
      <c r="H318" s="1"/>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G319" s="1"/>
      <c r="H319" s="1"/>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G320" s="1"/>
      <c r="H320" s="1"/>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G321" s="1"/>
      <c r="H321" s="1"/>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G322" s="1"/>
      <c r="H322" s="1"/>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G323" s="1"/>
      <c r="H323" s="1"/>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G324" s="1"/>
      <c r="H324" s="1"/>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G325" s="1"/>
      <c r="H325" s="1"/>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G326" s="1"/>
      <c r="H326" s="1"/>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G327" s="1"/>
      <c r="H327" s="1"/>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G328" s="1"/>
      <c r="H328" s="1"/>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G329" s="1"/>
      <c r="H329" s="1"/>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G330" s="1"/>
      <c r="H330" s="1"/>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G331" s="1"/>
      <c r="H331" s="1"/>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G332" s="1"/>
      <c r="H332" s="1"/>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G333" s="1"/>
      <c r="H333" s="1"/>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G334" s="1"/>
      <c r="H334" s="1"/>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G335" s="1"/>
      <c r="H335" s="1"/>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G336" s="1"/>
      <c r="H336" s="1"/>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G337" s="1"/>
      <c r="H337" s="1"/>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G338" s="1"/>
      <c r="H338" s="1"/>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G339" s="1"/>
      <c r="H339" s="1"/>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G340" s="1"/>
      <c r="H340" s="1"/>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G341" s="1"/>
      <c r="H341" s="1"/>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G342" s="1"/>
      <c r="H342" s="1"/>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G343" s="1"/>
      <c r="H343" s="1"/>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G344" s="1"/>
      <c r="H344" s="1"/>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G345" s="1"/>
      <c r="H345" s="1"/>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G346" s="1"/>
      <c r="H346" s="1"/>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G347" s="1"/>
      <c r="H347" s="1"/>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G348" s="1"/>
      <c r="H348" s="1"/>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G349" s="1"/>
      <c r="H349" s="1"/>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G350" s="1"/>
      <c r="H350" s="1"/>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G351" s="1"/>
      <c r="H351" s="1"/>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G352" s="1"/>
      <c r="H352" s="1"/>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G353" s="1"/>
      <c r="H353" s="1"/>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G354" s="1"/>
      <c r="H354" s="1"/>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G355" s="1"/>
      <c r="H355" s="1"/>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G356" s="1"/>
      <c r="H356" s="1"/>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G357" s="1"/>
      <c r="H357" s="1"/>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G358" s="1"/>
      <c r="H358" s="1"/>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G359" s="1"/>
      <c r="H359" s="1"/>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G360" s="1"/>
      <c r="H360" s="1"/>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G361" s="1"/>
      <c r="H361" s="1"/>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G362" s="1"/>
      <c r="H362" s="1"/>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G363" s="1"/>
      <c r="H363" s="1"/>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G364" s="1"/>
      <c r="H364" s="1"/>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G365" s="1"/>
      <c r="H365" s="1"/>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G366" s="1"/>
      <c r="H366" s="1"/>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G367" s="1"/>
      <c r="H367" s="1"/>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G368" s="1"/>
      <c r="H368" s="1"/>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G369" s="1"/>
      <c r="H369" s="1"/>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G370" s="1"/>
      <c r="H370" s="1"/>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G371" s="1"/>
      <c r="H371" s="1"/>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G372" s="1"/>
      <c r="H372" s="1"/>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G373" s="1"/>
      <c r="H373" s="1"/>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G374" s="1"/>
      <c r="H374" s="1"/>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G375" s="1"/>
      <c r="H375" s="1"/>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G376" s="1"/>
      <c r="H376" s="1"/>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G377" s="1"/>
      <c r="H377" s="1"/>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G378" s="1"/>
      <c r="H378" s="1"/>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G379" s="1"/>
      <c r="H379" s="1"/>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G380" s="1"/>
      <c r="H380" s="1"/>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G381" s="1"/>
      <c r="H381" s="1"/>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G382" s="1"/>
      <c r="H382" s="1"/>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G383" s="1"/>
      <c r="H383" s="1"/>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G384" s="1"/>
      <c r="H384" s="1"/>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G385" s="1"/>
      <c r="H385" s="1"/>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G386" s="1"/>
      <c r="H386" s="1"/>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G387" s="1"/>
      <c r="H387" s="1"/>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G388" s="1"/>
      <c r="H388" s="1"/>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G389" s="1"/>
      <c r="H389" s="1"/>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G390" s="1"/>
      <c r="H390" s="1"/>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G391" s="1"/>
      <c r="H391" s="1"/>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G392" s="1"/>
      <c r="H392" s="1"/>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G393" s="1"/>
      <c r="H393" s="1"/>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G394" s="1"/>
      <c r="H394" s="1"/>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G395" s="1"/>
      <c r="H395" s="1"/>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G396" s="1"/>
      <c r="H396" s="1"/>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G397" s="1"/>
      <c r="H397" s="1"/>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G398" s="1"/>
      <c r="H398" s="1"/>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G399" s="1"/>
      <c r="H399" s="1"/>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G400" s="1"/>
      <c r="H400" s="1"/>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G401" s="1"/>
      <c r="H401" s="1"/>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G402" s="1"/>
      <c r="H402" s="1"/>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G403" s="1"/>
      <c r="H403" s="1"/>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G404" s="1"/>
      <c r="H404" s="1"/>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G405" s="1"/>
      <c r="H405" s="1"/>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G406" s="1"/>
      <c r="H406" s="1"/>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G407" s="1"/>
      <c r="H407" s="1"/>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G408" s="1"/>
      <c r="H408" s="1"/>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G409" s="1"/>
      <c r="H409" s="1"/>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G410" s="1"/>
      <c r="H410" s="1"/>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G411" s="1"/>
      <c r="H411" s="1"/>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G412" s="1"/>
      <c r="H412" s="1"/>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G413" s="1"/>
      <c r="H413" s="1"/>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G414" s="1"/>
      <c r="H414" s="1"/>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G415" s="1"/>
      <c r="H415" s="1"/>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G416" s="1"/>
      <c r="H416" s="1"/>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G417" s="1"/>
      <c r="H417" s="1"/>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G418" s="1"/>
      <c r="H418" s="1"/>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G419" s="1"/>
      <c r="H419" s="1"/>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G420" s="1"/>
      <c r="H420" s="1"/>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G421" s="1"/>
      <c r="H421" s="1"/>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G422" s="1"/>
      <c r="H422" s="1"/>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G423" s="1"/>
      <c r="H423" s="1"/>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G424" s="1"/>
      <c r="H424" s="1"/>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G425" s="1"/>
      <c r="H425" s="1"/>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G426" s="1"/>
      <c r="H426" s="1"/>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G427" s="1"/>
      <c r="H427" s="1"/>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G428" s="1"/>
      <c r="H428" s="1"/>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G429" s="1"/>
      <c r="H429" s="1"/>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G430" s="1"/>
      <c r="H430" s="1"/>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G431" s="1"/>
      <c r="H431" s="1"/>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G432" s="1"/>
      <c r="H432" s="1"/>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G433" s="1"/>
      <c r="H433" s="1"/>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G434" s="1"/>
      <c r="H434" s="1"/>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G435" s="1"/>
      <c r="H435" s="1"/>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G436" s="1"/>
      <c r="H436" s="1"/>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G437" s="1"/>
      <c r="H437" s="1"/>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G438" s="1"/>
      <c r="H438" s="1"/>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G439" s="1"/>
      <c r="H439" s="1"/>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G440" s="1"/>
      <c r="H440" s="1"/>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G441" s="1"/>
      <c r="H441" s="1"/>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G442" s="1"/>
      <c r="H442" s="1"/>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G443" s="1"/>
      <c r="H443" s="1"/>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G444" s="1"/>
      <c r="H444" s="1"/>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G445" s="1"/>
      <c r="H445" s="1"/>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G446" s="1"/>
      <c r="H446" s="1"/>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G447" s="1"/>
      <c r="H447" s="1"/>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G448" s="1"/>
      <c r="H448" s="1"/>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G449" s="1"/>
      <c r="H449" s="1"/>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G450" s="1"/>
      <c r="H450" s="1"/>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G451" s="1"/>
      <c r="H451" s="1"/>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G452" s="1"/>
      <c r="H452" s="1"/>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G453" s="1"/>
      <c r="H453" s="1"/>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G454" s="1"/>
      <c r="H454" s="1"/>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G455" s="1"/>
      <c r="H455" s="1"/>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G456" s="1"/>
      <c r="H456" s="1"/>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G457" s="1"/>
      <c r="H457" s="1"/>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G458" s="1"/>
      <c r="H458" s="1"/>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G459" s="1"/>
      <c r="H459" s="1"/>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G460" s="1"/>
      <c r="H460" s="1"/>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G461" s="1"/>
      <c r="H461" s="1"/>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G462" s="1"/>
      <c r="H462" s="1"/>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G463" s="1"/>
      <c r="H463" s="1"/>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G464" s="1"/>
      <c r="H464" s="1"/>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G465" s="1"/>
      <c r="H465" s="1"/>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G466" s="1"/>
      <c r="H466" s="1"/>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G467" s="1"/>
      <c r="H467" s="1"/>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G468" s="1"/>
      <c r="H468" s="1"/>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G469" s="1"/>
      <c r="H469" s="1"/>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G470" s="1"/>
      <c r="H470" s="1"/>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G471" s="1"/>
      <c r="H471" s="1"/>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G472" s="1"/>
      <c r="H472" s="1"/>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G473" s="1"/>
      <c r="H473" s="1"/>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G474" s="1"/>
      <c r="H474" s="1"/>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G475" s="1"/>
      <c r="H475" s="1"/>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G476" s="1"/>
      <c r="H476" s="1"/>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G477" s="1"/>
      <c r="H477" s="1"/>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G478" s="1"/>
      <c r="H478" s="1"/>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G479" s="1"/>
      <c r="H479" s="1"/>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G480" s="1"/>
      <c r="H480" s="1"/>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G481" s="1"/>
      <c r="H481" s="1"/>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G482" s="1"/>
      <c r="H482" s="1"/>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G483" s="1"/>
      <c r="H483" s="1"/>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G484" s="1"/>
      <c r="H484" s="1"/>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G485" s="1"/>
      <c r="H485" s="1"/>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G486" s="1"/>
      <c r="H486" s="1"/>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G487" s="1"/>
      <c r="H487" s="1"/>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G488" s="1"/>
      <c r="H488" s="1"/>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G489" s="1"/>
      <c r="H489" s="1"/>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G490" s="1"/>
      <c r="H490" s="1"/>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G491" s="1"/>
      <c r="H491" s="1"/>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G492" s="1"/>
      <c r="H492" s="1"/>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G493" s="1"/>
      <c r="H493" s="1"/>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G494" s="1"/>
      <c r="H494" s="1"/>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G495" s="1"/>
      <c r="H495" s="1"/>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G496" s="1"/>
      <c r="H496" s="1"/>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G497" s="1"/>
      <c r="H497" s="1"/>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G498" s="1"/>
      <c r="H498" s="1"/>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G499" s="1"/>
      <c r="H499" s="1"/>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G500" s="1"/>
      <c r="H500" s="1"/>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G501" s="1"/>
      <c r="H501" s="1"/>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G502" s="1"/>
      <c r="H502" s="1"/>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G503" s="1"/>
      <c r="H503" s="1"/>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G504" s="1"/>
      <c r="H504" s="1"/>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G505" s="1"/>
      <c r="H505" s="1"/>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G506" s="1"/>
      <c r="H506" s="1"/>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G507" s="1"/>
      <c r="H507" s="1"/>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G508" s="1"/>
      <c r="H508" s="1"/>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G509" s="1"/>
      <c r="H509" s="1"/>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G510" s="1"/>
      <c r="H510" s="1"/>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G511" s="1"/>
      <c r="H511" s="1"/>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G512" s="1"/>
      <c r="H512" s="1"/>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G513" s="1"/>
      <c r="H513" s="1"/>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G514" s="1"/>
      <c r="H514" s="1"/>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G515" s="1"/>
      <c r="H515" s="1"/>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G516" s="1"/>
      <c r="H516" s="1"/>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G517" s="1"/>
      <c r="H517" s="1"/>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G518" s="1"/>
      <c r="H518" s="1"/>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G519" s="1"/>
      <c r="H519" s="1"/>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G520" s="1"/>
      <c r="H520" s="1"/>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G521" s="1"/>
      <c r="H521" s="1"/>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G522" s="1"/>
      <c r="H522" s="1"/>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G523" s="1"/>
      <c r="H523" s="1"/>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G524" s="1"/>
      <c r="H524" s="1"/>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G525" s="1"/>
      <c r="H525" s="1"/>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G526" s="1"/>
      <c r="H526" s="1"/>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G527" s="1"/>
      <c r="H527" s="1"/>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G528" s="1"/>
      <c r="H528" s="1"/>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G529" s="1"/>
      <c r="H529" s="1"/>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G530" s="1"/>
      <c r="H530" s="1"/>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G531" s="1"/>
      <c r="H531" s="1"/>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G532" s="1"/>
      <c r="H532" s="1"/>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G533" s="1"/>
      <c r="H533" s="1"/>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G534" s="1"/>
      <c r="H534" s="1"/>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G535" s="1"/>
      <c r="H535" s="1"/>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G536" s="1"/>
      <c r="H536" s="1"/>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G537" s="1"/>
      <c r="H537" s="1"/>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G538" s="1"/>
      <c r="H538" s="1"/>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G539" s="1"/>
      <c r="H539" s="1"/>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G540" s="1"/>
      <c r="H540" s="1"/>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G541" s="1"/>
      <c r="H541" s="1"/>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G542" s="1"/>
      <c r="H542" s="1"/>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G543" s="1"/>
      <c r="H543" s="1"/>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G544" s="1"/>
      <c r="H544" s="1"/>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G545" s="1"/>
      <c r="H545" s="1"/>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G546" s="1"/>
      <c r="H546" s="1"/>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G547" s="1"/>
      <c r="H547" s="1"/>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G548" s="1"/>
      <c r="H548" s="1"/>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G549" s="1"/>
      <c r="H549" s="1"/>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G550" s="1"/>
      <c r="H550" s="1"/>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G551" s="1"/>
      <c r="H551" s="1"/>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G552" s="1"/>
      <c r="H552" s="1"/>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G553" s="1"/>
      <c r="H553" s="1"/>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G554" s="1"/>
      <c r="H554" s="1"/>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G555" s="1"/>
      <c r="H555" s="1"/>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G556" s="1"/>
      <c r="H556" s="1"/>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G557" s="1"/>
      <c r="H557" s="1"/>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G558" s="1"/>
      <c r="H558" s="1"/>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G559" s="1"/>
      <c r="H559" s="1"/>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G560" s="1"/>
      <c r="H560" s="1"/>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G561" s="1"/>
      <c r="H561" s="1"/>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G562" s="1"/>
      <c r="H562" s="1"/>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G563" s="1"/>
      <c r="H563" s="1"/>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G564" s="1"/>
      <c r="H564" s="1"/>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G565" s="1"/>
      <c r="H565" s="1"/>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G566" s="1"/>
      <c r="H566" s="1"/>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G567" s="1"/>
      <c r="H567" s="1"/>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G568" s="1"/>
      <c r="H568" s="1"/>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G569" s="1"/>
      <c r="H569" s="1"/>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G570" s="1"/>
      <c r="H570" s="1"/>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G571" s="1"/>
      <c r="H571" s="1"/>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G572" s="1"/>
      <c r="H572" s="1"/>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G573" s="1"/>
      <c r="H573" s="1"/>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G574" s="1"/>
      <c r="H574" s="1"/>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G575" s="1"/>
      <c r="H575" s="1"/>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G576" s="1"/>
      <c r="H576" s="1"/>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G577" s="1"/>
      <c r="H577" s="1"/>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G578" s="1"/>
      <c r="H578" s="1"/>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G579" s="1"/>
      <c r="H579" s="1"/>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G580" s="1"/>
      <c r="H580" s="1"/>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G581" s="1"/>
      <c r="H581" s="1"/>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G582" s="1"/>
      <c r="H582" s="1"/>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G583" s="1"/>
      <c r="H583" s="1"/>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G584" s="1"/>
      <c r="H584" s="1"/>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G585" s="1"/>
      <c r="H585" s="1"/>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G586" s="1"/>
      <c r="H586" s="1"/>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G587" s="1"/>
      <c r="H587" s="1"/>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G588" s="1"/>
      <c r="H588" s="1"/>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G589" s="1"/>
      <c r="H589" s="1"/>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G590" s="1"/>
      <c r="H590" s="1"/>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G591" s="1"/>
      <c r="H591" s="1"/>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G592" s="1"/>
      <c r="H592" s="1"/>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G593" s="1"/>
      <c r="H593" s="1"/>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G594" s="1"/>
      <c r="H594" s="1"/>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G595" s="1"/>
      <c r="H595" s="1"/>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G596" s="1"/>
      <c r="H596" s="1"/>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G597" s="1"/>
      <c r="H597" s="1"/>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G598" s="1"/>
      <c r="H598" s="1"/>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G599" s="1"/>
      <c r="H599" s="1"/>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G600" s="1"/>
      <c r="H600" s="1"/>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G601" s="1"/>
      <c r="H601" s="1"/>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G602" s="1"/>
      <c r="H602" s="1"/>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G603" s="1"/>
      <c r="H603" s="1"/>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G604" s="1"/>
      <c r="H604" s="1"/>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G605" s="1"/>
      <c r="H605" s="1"/>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G606" s="1"/>
      <c r="H606" s="1"/>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G607" s="1"/>
      <c r="H607" s="1"/>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G608" s="1"/>
      <c r="H608" s="1"/>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G609" s="1"/>
      <c r="H609" s="1"/>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G610" s="1"/>
      <c r="H610" s="1"/>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G611" s="1"/>
      <c r="H611" s="1"/>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G612" s="1"/>
      <c r="H612" s="1"/>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G613" s="1"/>
      <c r="H613" s="1"/>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G614" s="1"/>
      <c r="H614" s="1"/>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G615" s="1"/>
      <c r="H615" s="1"/>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G616" s="1"/>
      <c r="H616" s="1"/>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G617" s="1"/>
      <c r="H617" s="1"/>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G618" s="1"/>
      <c r="H618" s="1"/>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G619" s="1"/>
      <c r="H619" s="1"/>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G620" s="1"/>
      <c r="H620" s="1"/>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G621" s="1"/>
      <c r="H621" s="1"/>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G622" s="1"/>
      <c r="H622" s="1"/>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G623" s="1"/>
      <c r="H623" s="1"/>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G624" s="1"/>
      <c r="H624" s="1"/>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G625" s="1"/>
      <c r="H625" s="1"/>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G626" s="1"/>
      <c r="H626" s="1"/>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G627" s="1"/>
      <c r="H627" s="1"/>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G628" s="1"/>
      <c r="H628" s="1"/>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G629" s="1"/>
      <c r="H629" s="1"/>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G630" s="1"/>
      <c r="H630" s="1"/>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G631" s="1"/>
      <c r="H631" s="1"/>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G632" s="1"/>
      <c r="H632" s="1"/>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G633" s="1"/>
      <c r="H633" s="1"/>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G634" s="1"/>
      <c r="H634" s="1"/>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G635" s="1"/>
      <c r="H635" s="1"/>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G636" s="1"/>
      <c r="H636" s="1"/>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G637" s="1"/>
      <c r="H637" s="1"/>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G638" s="1"/>
      <c r="H638" s="1"/>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G639" s="1"/>
      <c r="H639" s="1"/>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G640" s="1"/>
      <c r="H640" s="1"/>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G641" s="1"/>
      <c r="H641" s="1"/>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G642" s="1"/>
      <c r="H642" s="1"/>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G643" s="1"/>
      <c r="H643" s="1"/>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G644" s="1"/>
      <c r="H644" s="1"/>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G645" s="1"/>
      <c r="H645" s="1"/>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G646" s="1"/>
      <c r="H646" s="1"/>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G647" s="1"/>
      <c r="H647" s="1"/>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G648" s="1"/>
      <c r="H648" s="1"/>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G649" s="1"/>
      <c r="H649" s="1"/>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G650" s="1"/>
      <c r="H650" s="1"/>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G651" s="1"/>
      <c r="H651" s="1"/>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G652" s="1"/>
      <c r="H652" s="1"/>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G653" s="1"/>
      <c r="H653" s="1"/>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G654" s="1"/>
      <c r="H654" s="1"/>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G655" s="1"/>
      <c r="H655" s="1"/>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G656" s="1"/>
      <c r="H656" s="1"/>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G657" s="1"/>
      <c r="H657" s="1"/>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G658" s="1"/>
      <c r="H658" s="1"/>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G659" s="1"/>
      <c r="H659" s="1"/>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G660" s="1"/>
      <c r="H660" s="1"/>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G661" s="1"/>
      <c r="H661" s="1"/>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G662" s="1"/>
      <c r="H662" s="1"/>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G663" s="1"/>
      <c r="H663" s="1"/>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G664" s="1"/>
      <c r="H664" s="1"/>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G665" s="1"/>
      <c r="H665" s="1"/>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G666" s="1"/>
      <c r="H666" s="1"/>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G667" s="1"/>
      <c r="H667" s="1"/>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G668" s="1"/>
      <c r="H668" s="1"/>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G669" s="1"/>
      <c r="H669" s="1"/>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G670" s="1"/>
      <c r="H670" s="1"/>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G671" s="1"/>
      <c r="H671" s="1"/>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G672" s="1"/>
      <c r="H672" s="1"/>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G673" s="1"/>
      <c r="H673" s="1"/>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G674" s="1"/>
      <c r="H674" s="1"/>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G675" s="1"/>
      <c r="H675" s="1"/>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G676" s="1"/>
      <c r="H676" s="1"/>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G677" s="1"/>
      <c r="H677" s="1"/>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G678" s="1"/>
      <c r="H678" s="1"/>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G679" s="1"/>
      <c r="H679" s="1"/>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G680" s="1"/>
      <c r="H680" s="1"/>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G681" s="1"/>
      <c r="H681" s="1"/>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G682" s="1"/>
      <c r="H682" s="1"/>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G683" s="1"/>
      <c r="H683" s="1"/>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G684" s="1"/>
      <c r="H684" s="1"/>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G685" s="1"/>
      <c r="H685" s="1"/>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G686" s="1"/>
      <c r="H686" s="1"/>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G687" s="1"/>
      <c r="H687" s="1"/>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G688" s="1"/>
      <c r="H688" s="1"/>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G689" s="1"/>
      <c r="H689" s="1"/>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G690" s="1"/>
      <c r="H690" s="1"/>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G691" s="1"/>
      <c r="H691" s="1"/>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G692" s="1"/>
      <c r="H692" s="1"/>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G693" s="1"/>
      <c r="H693" s="1"/>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G694" s="1"/>
      <c r="H694" s="1"/>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G695" s="1"/>
      <c r="H695" s="1"/>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G696" s="1"/>
      <c r="H696" s="1"/>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G697" s="1"/>
      <c r="H697" s="1"/>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G698" s="1"/>
      <c r="H698" s="1"/>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G699" s="1"/>
      <c r="H699" s="1"/>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G700" s="1"/>
      <c r="H700" s="1"/>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G701" s="1"/>
      <c r="H701" s="1"/>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G702" s="1"/>
      <c r="H702" s="1"/>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G703" s="1"/>
      <c r="H703" s="1"/>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G704" s="1"/>
      <c r="H704" s="1"/>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G705" s="1"/>
      <c r="H705" s="1"/>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G706" s="1"/>
      <c r="H706" s="1"/>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G707" s="1"/>
      <c r="H707" s="1"/>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G708" s="1"/>
      <c r="H708" s="1"/>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G709" s="1"/>
      <c r="H709" s="1"/>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G710" s="1"/>
      <c r="H710" s="1"/>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G711" s="1"/>
      <c r="H711" s="1"/>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G712" s="1"/>
      <c r="H712" s="1"/>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G713" s="1"/>
      <c r="H713" s="1"/>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G714" s="1"/>
      <c r="H714" s="1"/>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G715" s="1"/>
      <c r="H715" s="1"/>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G716" s="1"/>
      <c r="H716" s="1"/>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G717" s="1"/>
      <c r="H717" s="1"/>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G718" s="1"/>
      <c r="H718" s="1"/>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G719" s="1"/>
      <c r="H719" s="1"/>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G720" s="1"/>
      <c r="H720" s="1"/>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G721" s="1"/>
      <c r="H721" s="1"/>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G722" s="1"/>
      <c r="H722" s="1"/>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G723" s="1"/>
      <c r="H723" s="1"/>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G724" s="1"/>
      <c r="H724" s="1"/>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G725" s="1"/>
      <c r="H725" s="1"/>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G726" s="1"/>
      <c r="H726" s="1"/>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G727" s="1"/>
      <c r="H727" s="1"/>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G728" s="1"/>
      <c r="H728" s="1"/>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G729" s="1"/>
      <c r="H729" s="1"/>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G730" s="1"/>
      <c r="H730" s="1"/>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G731" s="1"/>
      <c r="H731" s="1"/>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G732" s="1"/>
      <c r="H732" s="1"/>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G733" s="1"/>
      <c r="H733" s="1"/>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G734" s="1"/>
      <c r="H734" s="1"/>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G735" s="1"/>
      <c r="H735" s="1"/>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G736" s="1"/>
      <c r="H736" s="1"/>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G737" s="1"/>
      <c r="H737" s="1"/>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G738" s="1"/>
      <c r="H738" s="1"/>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G739" s="1"/>
      <c r="H739" s="1"/>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G740" s="1"/>
      <c r="H740" s="1"/>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G741" s="1"/>
      <c r="H741" s="1"/>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G742" s="1"/>
      <c r="H742" s="1"/>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G743" s="1"/>
      <c r="H743" s="1"/>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G744" s="1"/>
      <c r="H744" s="1"/>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G745" s="1"/>
      <c r="H745" s="1"/>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G746" s="1"/>
      <c r="H746" s="1"/>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G747" s="1"/>
      <c r="H747" s="1"/>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G748" s="1"/>
      <c r="H748" s="1"/>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G749" s="1"/>
      <c r="H749" s="1"/>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G750" s="1"/>
      <c r="H750" s="1"/>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G751" s="1"/>
      <c r="H751" s="1"/>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G752" s="1"/>
      <c r="H752" s="1"/>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G753" s="1"/>
      <c r="H753" s="1"/>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G754" s="1"/>
      <c r="H754" s="1"/>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G755" s="1"/>
      <c r="H755" s="1"/>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G756" s="1"/>
      <c r="H756" s="1"/>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G757" s="1"/>
      <c r="H757" s="1"/>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G758" s="1"/>
      <c r="H758" s="1"/>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G759" s="1"/>
      <c r="H759" s="1"/>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G760" s="1"/>
      <c r="H760" s="1"/>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G761" s="1"/>
      <c r="H761" s="1"/>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G762" s="1"/>
      <c r="H762" s="1"/>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G763" s="1"/>
      <c r="H763" s="1"/>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G764" s="1"/>
      <c r="H764" s="1"/>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G765" s="1"/>
      <c r="H765" s="1"/>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G766" s="1"/>
      <c r="H766" s="1"/>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G767" s="1"/>
      <c r="H767" s="1"/>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G768" s="1"/>
      <c r="H768" s="1"/>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G769" s="1"/>
      <c r="H769" s="1"/>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G770" s="1"/>
      <c r="H770" s="1"/>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G771" s="1"/>
      <c r="H771" s="1"/>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G772" s="1"/>
      <c r="H772" s="1"/>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G773" s="1"/>
      <c r="H773" s="1"/>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G774" s="1"/>
      <c r="H774" s="1"/>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G775" s="1"/>
      <c r="H775" s="1"/>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G776" s="1"/>
      <c r="H776" s="1"/>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G777" s="1"/>
      <c r="H777" s="1"/>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G778" s="1"/>
      <c r="H778" s="1"/>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G779" s="1"/>
      <c r="H779" s="1"/>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G780" s="1"/>
      <c r="H780" s="1"/>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G781" s="1"/>
      <c r="H781" s="1"/>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G782" s="1"/>
      <c r="H782" s="1"/>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G783" s="1"/>
      <c r="H783" s="1"/>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G784" s="1"/>
      <c r="H784" s="1"/>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G785" s="1"/>
      <c r="H785" s="1"/>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G786" s="1"/>
      <c r="H786" s="1"/>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G787" s="1"/>
      <c r="H787" s="1"/>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G788" s="1"/>
      <c r="H788" s="1"/>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G789" s="1"/>
      <c r="H789" s="1"/>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G790" s="1"/>
      <c r="H790" s="1"/>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G791" s="1"/>
      <c r="H791" s="1"/>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G792" s="1"/>
      <c r="H792" s="1"/>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G793" s="1"/>
      <c r="H793" s="1"/>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G794" s="1"/>
      <c r="H794" s="1"/>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G795" s="1"/>
      <c r="H795" s="1"/>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G796" s="1"/>
      <c r="H796" s="1"/>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G797" s="1"/>
      <c r="H797" s="1"/>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G798" s="1"/>
      <c r="H798" s="1"/>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G799" s="1"/>
      <c r="H799" s="1"/>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G800" s="1"/>
      <c r="H800" s="1"/>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G801" s="1"/>
      <c r="H801" s="1"/>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G802" s="1"/>
      <c r="H802" s="1"/>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G803" s="1"/>
      <c r="H803" s="1"/>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G804" s="1"/>
      <c r="H804" s="1"/>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G805" s="1"/>
      <c r="H805" s="1"/>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G806" s="1"/>
      <c r="H806" s="1"/>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G807" s="1"/>
      <c r="H807" s="1"/>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G808" s="1"/>
      <c r="H808" s="1"/>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G809" s="1"/>
      <c r="H809" s="1"/>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G810" s="1"/>
      <c r="H810" s="1"/>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G811" s="1"/>
      <c r="H811" s="1"/>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G812" s="1"/>
      <c r="H812" s="1"/>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G813" s="1"/>
      <c r="H813" s="1"/>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G814" s="1"/>
      <c r="H814" s="1"/>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G815" s="1"/>
      <c r="H815" s="1"/>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G816" s="1"/>
      <c r="H816" s="1"/>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G817" s="1"/>
      <c r="H817" s="1"/>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G818" s="1"/>
      <c r="H818" s="1"/>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G819" s="1"/>
      <c r="H819" s="1"/>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G820" s="1"/>
      <c r="H820" s="1"/>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G821" s="1"/>
      <c r="H821" s="1"/>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G822" s="1"/>
      <c r="H822" s="1"/>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G823" s="1"/>
      <c r="H823" s="1"/>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G824" s="1"/>
      <c r="H824" s="1"/>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G825" s="1"/>
      <c r="H825" s="1"/>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G826" s="1"/>
      <c r="H826" s="1"/>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G827" s="1"/>
      <c r="H827" s="1"/>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G828" s="1"/>
      <c r="H828" s="1"/>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G829" s="1"/>
      <c r="H829" s="1"/>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G830" s="1"/>
      <c r="H830" s="1"/>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G831" s="1"/>
      <c r="H831" s="1"/>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G832" s="1"/>
      <c r="H832" s="1"/>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G833" s="1"/>
      <c r="H833" s="1"/>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G834" s="1"/>
      <c r="H834" s="1"/>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G835" s="1"/>
      <c r="H835" s="1"/>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G836" s="1"/>
      <c r="H836" s="1"/>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G837" s="1"/>
      <c r="H837" s="1"/>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G838" s="1"/>
      <c r="H838" s="1"/>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G839" s="1"/>
      <c r="H839" s="1"/>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G840" s="1"/>
      <c r="H840" s="1"/>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G841" s="1"/>
      <c r="H841" s="1"/>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G842" s="1"/>
      <c r="H842" s="1"/>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G843" s="1"/>
      <c r="H843" s="1"/>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G844" s="1"/>
      <c r="H844" s="1"/>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G845" s="1"/>
      <c r="H845" s="1"/>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G846" s="1"/>
      <c r="H846" s="1"/>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G847" s="1"/>
      <c r="H847" s="1"/>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G848" s="1"/>
      <c r="H848" s="1"/>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G849" s="1"/>
      <c r="H849" s="1"/>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G850" s="1"/>
      <c r="H850" s="1"/>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G851" s="1"/>
      <c r="H851" s="1"/>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G852" s="1"/>
      <c r="H852" s="1"/>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G853" s="1"/>
      <c r="H853" s="1"/>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G854" s="1"/>
      <c r="H854" s="1"/>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G855" s="1"/>
      <c r="H855" s="1"/>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G856" s="1"/>
      <c r="H856" s="1"/>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G857" s="1"/>
      <c r="H857" s="1"/>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G858" s="1"/>
      <c r="H858" s="1"/>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G859" s="1"/>
      <c r="H859" s="1"/>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G860" s="1"/>
      <c r="H860" s="1"/>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G861" s="1"/>
      <c r="H861" s="1"/>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G862" s="1"/>
      <c r="H862" s="1"/>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G863" s="1"/>
      <c r="H863" s="1"/>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G864" s="1"/>
      <c r="H864" s="1"/>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G865" s="1"/>
      <c r="H865" s="1"/>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G866" s="1"/>
      <c r="H866" s="1"/>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G867" s="1"/>
      <c r="H867" s="1"/>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G868" s="1"/>
      <c r="H868" s="1"/>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G869" s="1"/>
      <c r="H869" s="1"/>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G870" s="1"/>
      <c r="H870" s="1"/>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G871" s="1"/>
      <c r="H871" s="1"/>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G872" s="1"/>
      <c r="H872" s="1"/>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G873" s="1"/>
      <c r="H873" s="1"/>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G874" s="1"/>
      <c r="H874" s="1"/>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G875" s="1"/>
      <c r="H875" s="1"/>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G876" s="1"/>
      <c r="H876" s="1"/>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G877" s="1"/>
      <c r="H877" s="1"/>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G878" s="1"/>
      <c r="H878" s="1"/>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G879" s="1"/>
      <c r="H879" s="1"/>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G880" s="1"/>
      <c r="H880" s="1"/>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G881" s="1"/>
      <c r="H881" s="1"/>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G882" s="1"/>
      <c r="H882" s="1"/>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G883" s="1"/>
      <c r="H883" s="1"/>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G884" s="1"/>
      <c r="H884" s="1"/>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G885" s="1"/>
      <c r="H885" s="1"/>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G886" s="1"/>
      <c r="H886" s="1"/>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G887" s="1"/>
      <c r="H887" s="1"/>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G888" s="1"/>
      <c r="H888" s="1"/>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G889" s="1"/>
      <c r="H889" s="1"/>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G890" s="1"/>
      <c r="H890" s="1"/>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G891" s="1"/>
      <c r="H891" s="1"/>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G892" s="1"/>
      <c r="H892" s="1"/>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G893" s="1"/>
      <c r="H893" s="1"/>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G894" s="1"/>
      <c r="H894" s="1"/>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G895" s="1"/>
      <c r="H895" s="1"/>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G896" s="1"/>
      <c r="H896" s="1"/>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G897" s="1"/>
      <c r="H897" s="1"/>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G898" s="1"/>
      <c r="H898" s="1"/>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G899" s="1"/>
      <c r="H899" s="1"/>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G900" s="1"/>
      <c r="H900" s="1"/>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G901" s="1"/>
      <c r="H901" s="1"/>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G902" s="1"/>
      <c r="H902" s="1"/>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G903" s="1"/>
      <c r="H903" s="1"/>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G904" s="1"/>
      <c r="H904" s="1"/>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G905" s="1"/>
      <c r="H905" s="1"/>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G906" s="1"/>
      <c r="H906" s="1"/>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G907" s="1"/>
      <c r="H907" s="1"/>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G908" s="1"/>
      <c r="H908" s="1"/>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G909" s="1"/>
      <c r="H909" s="1"/>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G910" s="1"/>
      <c r="H910" s="1"/>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G911" s="1"/>
      <c r="H911" s="1"/>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G912" s="1"/>
      <c r="H912" s="1"/>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G913" s="1"/>
      <c r="H913" s="1"/>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G914" s="1"/>
      <c r="H914" s="1"/>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G915" s="1"/>
      <c r="H915" s="1"/>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G916" s="1"/>
      <c r="H916" s="1"/>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G917" s="1"/>
      <c r="H917" s="1"/>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G918" s="1"/>
      <c r="H918" s="1"/>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G919" s="1"/>
      <c r="H919" s="1"/>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G920" s="1"/>
      <c r="H920" s="1"/>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G921" s="1"/>
      <c r="H921" s="1"/>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G922" s="1"/>
      <c r="H922" s="1"/>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G923" s="1"/>
      <c r="H923" s="1"/>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G924" s="1"/>
      <c r="H924" s="1"/>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G925" s="1"/>
      <c r="H925" s="1"/>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G926" s="1"/>
      <c r="H926" s="1"/>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G927" s="1"/>
      <c r="H927" s="1"/>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G928" s="1"/>
      <c r="H928" s="1"/>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G929" s="1"/>
      <c r="H929" s="1"/>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G930" s="1"/>
      <c r="H930" s="1"/>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G931" s="1"/>
      <c r="H931" s="1"/>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G932" s="1"/>
      <c r="H932" s="1"/>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G933" s="1"/>
      <c r="H933" s="1"/>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G934" s="1"/>
      <c r="H934" s="1"/>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G935" s="1"/>
      <c r="H935" s="1"/>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G936" s="1"/>
      <c r="H936" s="1"/>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G937" s="1"/>
      <c r="H937" s="1"/>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G938" s="1"/>
      <c r="H938" s="1"/>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G939" s="1"/>
      <c r="H939" s="1"/>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G940" s="1"/>
      <c r="H940" s="1"/>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G941" s="1"/>
      <c r="H941" s="1"/>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G942" s="1"/>
      <c r="H942" s="1"/>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G943" s="1"/>
      <c r="H943" s="1"/>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G944" s="1"/>
      <c r="H944" s="1"/>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G945" s="1"/>
      <c r="H945" s="1"/>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G946" s="1"/>
      <c r="H946" s="1"/>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G947" s="1"/>
      <c r="H947" s="1"/>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G948" s="1"/>
      <c r="H948" s="1"/>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G949" s="1"/>
      <c r="H949" s="1"/>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G950" s="1"/>
      <c r="H950" s="1"/>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G951" s="1"/>
      <c r="H951" s="1"/>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G952" s="1"/>
      <c r="H952" s="1"/>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G953" s="1"/>
      <c r="H953" s="1"/>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G954" s="1"/>
      <c r="H954" s="1"/>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G955" s="1"/>
      <c r="H955" s="1"/>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G956" s="1"/>
      <c r="H956" s="1"/>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G957" s="1"/>
      <c r="H957" s="1"/>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G958" s="1"/>
      <c r="H958" s="1"/>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G959" s="1"/>
      <c r="H959" s="1"/>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G960" s="1"/>
      <c r="H960" s="1"/>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G961" s="1"/>
      <c r="H961" s="1"/>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G962" s="1"/>
      <c r="H962" s="1"/>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G963" s="1"/>
      <c r="H963" s="1"/>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G964" s="1"/>
      <c r="H964" s="1"/>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G965" s="1"/>
      <c r="H965" s="1"/>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G966" s="1"/>
      <c r="H966" s="1"/>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G967" s="1"/>
      <c r="H967" s="1"/>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G968" s="1"/>
      <c r="H968" s="1"/>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G969" s="1"/>
      <c r="H969" s="1"/>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G970" s="1"/>
      <c r="H970" s="1"/>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G971" s="1"/>
      <c r="H971" s="1"/>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G972" s="1"/>
      <c r="H972" s="1"/>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G973" s="1"/>
      <c r="H973" s="1"/>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G974" s="1"/>
      <c r="H974" s="1"/>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G975" s="1"/>
      <c r="H975" s="1"/>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G976" s="1"/>
      <c r="H976" s="1"/>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G977" s="1"/>
      <c r="H977" s="1"/>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G978" s="1"/>
      <c r="H978" s="1"/>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G979" s="1"/>
      <c r="H979" s="1"/>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G980" s="1"/>
      <c r="H980" s="1"/>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G981" s="1"/>
      <c r="H981" s="1"/>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G982" s="1"/>
      <c r="H982" s="1"/>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G983" s="1"/>
      <c r="H983" s="1"/>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G984" s="1"/>
      <c r="H984" s="1"/>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G985" s="1"/>
      <c r="H985" s="1"/>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G986" s="1"/>
      <c r="H986" s="1"/>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G987" s="1"/>
      <c r="H987" s="1"/>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G988" s="1"/>
      <c r="H988" s="1"/>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G989" s="1"/>
      <c r="H989" s="1"/>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G990" s="1"/>
      <c r="H990" s="1"/>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G991" s="1"/>
      <c r="H991" s="1"/>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G992" s="1"/>
      <c r="H992" s="1"/>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G993" s="1"/>
      <c r="H993" s="1"/>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G994" s="1"/>
      <c r="H994" s="1"/>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G995" s="1"/>
      <c r="H995" s="1"/>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G996" s="1"/>
      <c r="H996" s="1"/>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G997" s="1"/>
      <c r="H997" s="1"/>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G998" s="1"/>
      <c r="H998" s="1"/>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G999" s="1"/>
      <c r="H999" s="1"/>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G1000" s="1"/>
      <c r="H1000" s="1"/>
      <c r="I1000" s="1"/>
      <c r="J1000" s="1"/>
      <c r="K1000" s="1"/>
      <c r="L1000" s="1"/>
      <c r="M1000" s="1"/>
      <c r="N1000" s="1"/>
      <c r="O1000" s="1"/>
      <c r="P1000" s="1"/>
      <c r="Q1000" s="1"/>
      <c r="R1000" s="1"/>
      <c r="S1000" s="1"/>
      <c r="T1000" s="1"/>
      <c r="U1000" s="1"/>
      <c r="V1000" s="1"/>
      <c r="W1000" s="1"/>
      <c r="X1000" s="1"/>
      <c r="Y1000" s="1"/>
      <c r="Z1000" s="1"/>
    </row>
  </sheetData>
  <autoFilter ref="A3:F13"/>
  <mergeCells count="8">
    <mergeCell ref="A1:F1"/>
    <mergeCell ref="A2:F2"/>
    <mergeCell ref="A15:F15"/>
    <mergeCell ref="A16:F16"/>
    <mergeCell ref="A17:F17"/>
    <mergeCell ref="A18:F18"/>
    <mergeCell ref="A19:F19"/>
    <mergeCell ref="A20:F20"/>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5"/>
    <col collapsed="false" customWidth="true" hidden="false" outlineLevel="0" max="2" min="2" style="1" width="40"/>
    <col collapsed="false" customWidth="true" hidden="false" outlineLevel="0" max="4" min="3" style="1" width="14"/>
    <col collapsed="false" customWidth="true" hidden="false" outlineLevel="0" max="6" min="5" style="1" width="16"/>
  </cols>
  <sheetData>
    <row r="1" customFormat="false" ht="39.75" hidden="false" customHeight="true" outlineLevel="0" collapsed="false">
      <c r="A1" s="53" t="s">
        <v>178</v>
      </c>
      <c r="B1" s="53"/>
      <c r="C1" s="53"/>
      <c r="D1" s="53"/>
      <c r="E1" s="53"/>
      <c r="F1" s="53"/>
      <c r="G1" s="1"/>
      <c r="H1" s="1"/>
      <c r="I1" s="1"/>
      <c r="J1" s="1"/>
      <c r="K1" s="1"/>
      <c r="L1" s="1"/>
      <c r="M1" s="1"/>
      <c r="N1" s="1"/>
      <c r="O1" s="1"/>
      <c r="P1" s="1"/>
      <c r="Q1" s="1"/>
      <c r="R1" s="1"/>
      <c r="S1" s="1"/>
      <c r="T1" s="1"/>
      <c r="U1" s="1"/>
      <c r="V1" s="1"/>
      <c r="W1" s="1"/>
      <c r="X1" s="1"/>
      <c r="Y1" s="1"/>
      <c r="Z1" s="1"/>
    </row>
    <row r="2" customFormat="false" ht="19.5" hidden="false" customHeight="true" outlineLevel="0" collapsed="false">
      <c r="A2" s="20" t="s">
        <v>54</v>
      </c>
      <c r="B2" s="20"/>
      <c r="C2" s="20"/>
      <c r="D2" s="20"/>
      <c r="E2" s="20"/>
      <c r="F2" s="20"/>
      <c r="G2" s="1"/>
      <c r="H2" s="1"/>
      <c r="I2" s="1"/>
      <c r="J2" s="1"/>
      <c r="K2" s="1"/>
      <c r="L2" s="1"/>
      <c r="M2" s="1"/>
      <c r="N2" s="1"/>
      <c r="O2" s="1"/>
      <c r="P2" s="1"/>
      <c r="Q2" s="1"/>
      <c r="R2" s="1"/>
      <c r="S2" s="1"/>
      <c r="T2" s="1"/>
      <c r="U2" s="1"/>
      <c r="V2" s="1"/>
      <c r="W2" s="1"/>
      <c r="X2" s="1"/>
      <c r="Y2" s="1"/>
      <c r="Z2" s="1"/>
    </row>
    <row r="3" customFormat="false" ht="26.25" hidden="false" customHeight="true" outlineLevel="0" collapsed="false">
      <c r="A3" s="54" t="s">
        <v>55</v>
      </c>
      <c r="B3" s="54" t="s">
        <v>56</v>
      </c>
      <c r="C3" s="54" t="s">
        <v>179</v>
      </c>
      <c r="D3" s="54" t="s">
        <v>172</v>
      </c>
      <c r="E3" s="54" t="s">
        <v>180</v>
      </c>
      <c r="F3" s="54" t="s">
        <v>174</v>
      </c>
      <c r="G3" s="1"/>
      <c r="H3" s="1"/>
      <c r="I3" s="1"/>
      <c r="J3" s="1"/>
      <c r="K3" s="1"/>
      <c r="L3" s="1"/>
      <c r="M3" s="1"/>
      <c r="N3" s="1"/>
      <c r="O3" s="1"/>
      <c r="P3" s="1"/>
      <c r="Q3" s="1"/>
      <c r="R3" s="1"/>
      <c r="S3" s="1"/>
      <c r="T3" s="1"/>
      <c r="U3" s="1"/>
      <c r="V3" s="1"/>
      <c r="W3" s="1"/>
      <c r="X3" s="1"/>
      <c r="Y3" s="1"/>
      <c r="Z3" s="1"/>
    </row>
    <row r="4" customFormat="false" ht="15" hidden="false" customHeight="true" outlineLevel="0" collapsed="false">
      <c r="A4" s="55" t="n">
        <v>1</v>
      </c>
      <c r="B4" s="56" t="s">
        <v>86</v>
      </c>
      <c r="C4" s="57" t="n">
        <v>10</v>
      </c>
      <c r="D4" s="57" t="n">
        <v>10</v>
      </c>
      <c r="E4" s="58" t="n">
        <f aca="false">C4/D4</f>
        <v>1</v>
      </c>
      <c r="F4" s="57" t="s">
        <v>87</v>
      </c>
      <c r="G4" s="1"/>
      <c r="H4" s="1"/>
      <c r="I4" s="1"/>
      <c r="J4" s="1"/>
      <c r="K4" s="1"/>
      <c r="L4" s="1"/>
      <c r="M4" s="1"/>
      <c r="N4" s="1"/>
      <c r="O4" s="1"/>
      <c r="P4" s="1"/>
      <c r="Q4" s="1"/>
      <c r="R4" s="1"/>
      <c r="S4" s="1"/>
      <c r="T4" s="1"/>
      <c r="U4" s="1"/>
      <c r="V4" s="1"/>
      <c r="W4" s="1"/>
      <c r="X4" s="1"/>
      <c r="Y4" s="1"/>
      <c r="Z4" s="1"/>
    </row>
    <row r="5" customFormat="false" ht="15" hidden="false" customHeight="true" outlineLevel="0" collapsed="false">
      <c r="A5" s="55" t="n">
        <v>2</v>
      </c>
      <c r="B5" s="56" t="s">
        <v>156</v>
      </c>
      <c r="C5" s="57" t="n">
        <v>8</v>
      </c>
      <c r="D5" s="57" t="n">
        <v>10</v>
      </c>
      <c r="E5" s="58" t="n">
        <f aca="false">C5/D5</f>
        <v>0.8</v>
      </c>
      <c r="F5" s="57" t="s">
        <v>157</v>
      </c>
      <c r="G5" s="1"/>
      <c r="H5" s="1"/>
      <c r="I5" s="1"/>
      <c r="J5" s="1"/>
      <c r="K5" s="1"/>
      <c r="L5" s="1"/>
      <c r="M5" s="1"/>
      <c r="N5" s="1"/>
      <c r="O5" s="1"/>
      <c r="P5" s="1"/>
      <c r="Q5" s="1"/>
      <c r="R5" s="1"/>
      <c r="S5" s="1"/>
      <c r="T5" s="1"/>
      <c r="U5" s="1"/>
      <c r="V5" s="1"/>
      <c r="W5" s="1"/>
      <c r="X5" s="1"/>
      <c r="Y5" s="1"/>
      <c r="Z5" s="1"/>
    </row>
    <row r="6" customFormat="false" ht="15" hidden="false" customHeight="true" outlineLevel="0" collapsed="false">
      <c r="A6" s="55" t="n">
        <v>3</v>
      </c>
      <c r="B6" s="56" t="s">
        <v>121</v>
      </c>
      <c r="C6" s="57" t="n">
        <v>7</v>
      </c>
      <c r="D6" s="57" t="n">
        <v>8</v>
      </c>
      <c r="E6" s="58" t="n">
        <f aca="false">C6/D6</f>
        <v>0.875</v>
      </c>
      <c r="F6" s="57" t="s">
        <v>122</v>
      </c>
      <c r="G6" s="1"/>
      <c r="H6" s="1"/>
      <c r="I6" s="1"/>
      <c r="J6" s="1"/>
      <c r="K6" s="1"/>
      <c r="L6" s="1"/>
      <c r="M6" s="1"/>
      <c r="N6" s="1"/>
      <c r="O6" s="1"/>
      <c r="P6" s="1"/>
      <c r="Q6" s="1"/>
      <c r="R6" s="1"/>
      <c r="S6" s="1"/>
      <c r="T6" s="1"/>
      <c r="U6" s="1"/>
      <c r="V6" s="1"/>
      <c r="W6" s="1"/>
      <c r="X6" s="1"/>
      <c r="Y6" s="1"/>
      <c r="Z6" s="1"/>
    </row>
    <row r="7" customFormat="false" ht="15" hidden="false" customHeight="true" outlineLevel="0" collapsed="false">
      <c r="A7" s="28" t="n">
        <v>4</v>
      </c>
      <c r="B7" s="29" t="s">
        <v>66</v>
      </c>
      <c r="C7" s="30" t="n">
        <v>6</v>
      </c>
      <c r="D7" s="30" t="n">
        <v>6</v>
      </c>
      <c r="E7" s="31" t="n">
        <f aca="false">C7/D7</f>
        <v>1</v>
      </c>
      <c r="F7" s="30" t="s">
        <v>67</v>
      </c>
      <c r="G7" s="1"/>
      <c r="H7" s="1"/>
      <c r="I7" s="1"/>
      <c r="J7" s="1"/>
      <c r="K7" s="1"/>
      <c r="L7" s="1"/>
      <c r="M7" s="1"/>
      <c r="N7" s="1"/>
      <c r="O7" s="1"/>
      <c r="P7" s="1"/>
      <c r="Q7" s="1"/>
      <c r="R7" s="1"/>
      <c r="S7" s="1"/>
      <c r="T7" s="1"/>
      <c r="U7" s="1"/>
      <c r="V7" s="1"/>
      <c r="W7" s="1"/>
      <c r="X7" s="1"/>
      <c r="Y7" s="1"/>
      <c r="Z7" s="1"/>
    </row>
    <row r="8" customFormat="false" ht="15" hidden="false" customHeight="true" outlineLevel="0" collapsed="false">
      <c r="A8" s="23" t="n">
        <v>5</v>
      </c>
      <c r="B8" s="24" t="s">
        <v>70</v>
      </c>
      <c r="C8" s="25" t="n">
        <v>6</v>
      </c>
      <c r="D8" s="25" t="n">
        <v>7</v>
      </c>
      <c r="E8" s="26" t="n">
        <f aca="false">C8/D8</f>
        <v>0.857142857142857</v>
      </c>
      <c r="F8" s="25" t="s">
        <v>71</v>
      </c>
      <c r="G8" s="1"/>
      <c r="H8" s="1"/>
      <c r="I8" s="1"/>
      <c r="J8" s="1"/>
      <c r="K8" s="1"/>
      <c r="L8" s="1"/>
      <c r="M8" s="1"/>
      <c r="N8" s="1"/>
      <c r="O8" s="1"/>
      <c r="P8" s="1"/>
      <c r="Q8" s="1"/>
      <c r="R8" s="1"/>
      <c r="S8" s="1"/>
      <c r="T8" s="1"/>
      <c r="U8" s="1"/>
      <c r="V8" s="1"/>
      <c r="W8" s="1"/>
      <c r="X8" s="1"/>
      <c r="Y8" s="1"/>
      <c r="Z8" s="1"/>
    </row>
    <row r="9" customFormat="false" ht="15" hidden="false" customHeight="true" outlineLevel="0" collapsed="false">
      <c r="A9" s="28" t="n">
        <v>6</v>
      </c>
      <c r="B9" s="29" t="s">
        <v>152</v>
      </c>
      <c r="C9" s="30" t="n">
        <v>6</v>
      </c>
      <c r="D9" s="30" t="n">
        <v>9</v>
      </c>
      <c r="E9" s="31" t="n">
        <f aca="false">C9/D9</f>
        <v>0.666666666666667</v>
      </c>
      <c r="F9" s="30" t="s">
        <v>153</v>
      </c>
      <c r="G9" s="1"/>
      <c r="H9" s="1"/>
      <c r="I9" s="1"/>
      <c r="J9" s="1"/>
      <c r="K9" s="1"/>
      <c r="L9" s="1"/>
      <c r="M9" s="1"/>
      <c r="N9" s="1"/>
      <c r="O9" s="1"/>
      <c r="P9" s="1"/>
      <c r="Q9" s="1"/>
      <c r="R9" s="1"/>
      <c r="S9" s="1"/>
      <c r="T9" s="1"/>
      <c r="U9" s="1"/>
      <c r="V9" s="1"/>
      <c r="W9" s="1"/>
      <c r="X9" s="1"/>
      <c r="Y9" s="1"/>
      <c r="Z9" s="1"/>
    </row>
    <row r="10" customFormat="false" ht="15" hidden="false" customHeight="true" outlineLevel="0" collapsed="false">
      <c r="A10" s="23" t="n">
        <v>7</v>
      </c>
      <c r="B10" s="24" t="s">
        <v>131</v>
      </c>
      <c r="C10" s="25" t="n">
        <v>5</v>
      </c>
      <c r="D10" s="25" t="n">
        <v>10</v>
      </c>
      <c r="E10" s="26" t="n">
        <f aca="false">C10/D10</f>
        <v>0.5</v>
      </c>
      <c r="F10" s="25" t="s">
        <v>132</v>
      </c>
      <c r="G10" s="1"/>
      <c r="H10" s="1"/>
      <c r="I10" s="1"/>
      <c r="J10" s="1"/>
      <c r="K10" s="1"/>
      <c r="L10" s="1"/>
      <c r="M10" s="1"/>
      <c r="N10" s="1"/>
      <c r="O10" s="1"/>
      <c r="P10" s="1"/>
      <c r="Q10" s="1"/>
      <c r="R10" s="1"/>
      <c r="S10" s="1"/>
      <c r="T10" s="1"/>
      <c r="U10" s="1"/>
      <c r="V10" s="1"/>
      <c r="W10" s="1"/>
      <c r="X10" s="1"/>
      <c r="Y10" s="1"/>
      <c r="Z10" s="1"/>
    </row>
    <row r="11" customFormat="false" ht="15" hidden="false" customHeight="true" outlineLevel="0" collapsed="false">
      <c r="A11" s="28" t="n">
        <v>8</v>
      </c>
      <c r="B11" s="29" t="s">
        <v>73</v>
      </c>
      <c r="C11" s="30" t="n">
        <v>4</v>
      </c>
      <c r="D11" s="30" t="n">
        <v>9</v>
      </c>
      <c r="E11" s="31" t="n">
        <f aca="false">C11/D11</f>
        <v>0.444444444444444</v>
      </c>
      <c r="F11" s="30" t="s">
        <v>74</v>
      </c>
      <c r="G11" s="1"/>
      <c r="H11" s="1"/>
      <c r="I11" s="1"/>
      <c r="J11" s="1"/>
      <c r="K11" s="1"/>
      <c r="L11" s="1"/>
      <c r="M11" s="1"/>
      <c r="N11" s="1"/>
      <c r="O11" s="1"/>
      <c r="P11" s="1"/>
      <c r="Q11" s="1"/>
      <c r="R11" s="1"/>
      <c r="S11" s="1"/>
      <c r="T11" s="1"/>
      <c r="U11" s="1"/>
      <c r="V11" s="1"/>
      <c r="W11" s="1"/>
      <c r="X11" s="1"/>
      <c r="Y11" s="1"/>
      <c r="Z11" s="1"/>
    </row>
    <row r="12" customFormat="false" ht="15" hidden="false" customHeight="true" outlineLevel="0" collapsed="false">
      <c r="A12" s="23" t="n">
        <v>9</v>
      </c>
      <c r="B12" s="24" t="s">
        <v>80</v>
      </c>
      <c r="C12" s="25" t="n">
        <v>4</v>
      </c>
      <c r="D12" s="25" t="n">
        <v>6</v>
      </c>
      <c r="E12" s="26" t="n">
        <f aca="false">C12/D12</f>
        <v>0.666666666666667</v>
      </c>
      <c r="F12" s="25" t="s">
        <v>81</v>
      </c>
      <c r="G12" s="1"/>
      <c r="H12" s="1"/>
      <c r="I12" s="1"/>
      <c r="J12" s="1"/>
      <c r="K12" s="1"/>
      <c r="L12" s="1"/>
      <c r="M12" s="1"/>
      <c r="N12" s="1"/>
      <c r="O12" s="1"/>
      <c r="P12" s="1"/>
      <c r="Q12" s="1"/>
      <c r="R12" s="1"/>
      <c r="S12" s="1"/>
      <c r="T12" s="1"/>
      <c r="U12" s="1"/>
      <c r="V12" s="1"/>
      <c r="W12" s="1"/>
      <c r="X12" s="1"/>
      <c r="Y12" s="1"/>
      <c r="Z12" s="1"/>
    </row>
    <row r="13" customFormat="false" ht="15" hidden="false" customHeight="true" outlineLevel="0" collapsed="false">
      <c r="A13" s="28" t="n">
        <v>10</v>
      </c>
      <c r="B13" s="29" t="s">
        <v>113</v>
      </c>
      <c r="C13" s="30" t="n">
        <v>4</v>
      </c>
      <c r="D13" s="30" t="n">
        <v>10</v>
      </c>
      <c r="E13" s="31" t="n">
        <f aca="false">C13/D13</f>
        <v>0.4</v>
      </c>
      <c r="F13" s="30" t="s">
        <v>114</v>
      </c>
      <c r="G13" s="1"/>
      <c r="H13" s="1"/>
      <c r="I13" s="1"/>
      <c r="J13" s="1"/>
      <c r="K13" s="1"/>
      <c r="L13" s="1"/>
      <c r="M13" s="1"/>
      <c r="N13" s="1"/>
      <c r="O13" s="1"/>
      <c r="P13" s="1"/>
      <c r="Q13" s="1"/>
      <c r="R13" s="1"/>
      <c r="S13" s="1"/>
      <c r="T13" s="1"/>
      <c r="U13" s="1"/>
      <c r="V13" s="1"/>
      <c r="W13" s="1"/>
      <c r="X13" s="1"/>
      <c r="Y13" s="1"/>
      <c r="Z13" s="1"/>
    </row>
    <row r="14" customFormat="false" ht="15" hidden="false" customHeight="true" outlineLevel="0" collapsed="false">
      <c r="G14" s="1"/>
      <c r="H14" s="1"/>
      <c r="I14" s="1"/>
      <c r="J14" s="1"/>
      <c r="K14" s="1"/>
      <c r="L14" s="1"/>
      <c r="M14" s="1"/>
      <c r="N14" s="1"/>
      <c r="O14" s="1"/>
      <c r="P14" s="1"/>
      <c r="Q14" s="1"/>
      <c r="R14" s="1"/>
      <c r="S14" s="1"/>
      <c r="T14" s="1"/>
      <c r="U14" s="1"/>
      <c r="V14" s="1"/>
      <c r="W14" s="1"/>
      <c r="X14" s="1"/>
      <c r="Y14" s="1"/>
      <c r="Z14" s="1"/>
    </row>
    <row r="15" customFormat="false" ht="15.75" hidden="false" customHeight="true" outlineLevel="0" collapsed="false">
      <c r="A15" s="45" t="s">
        <v>159</v>
      </c>
      <c r="B15" s="45"/>
      <c r="C15" s="45"/>
      <c r="D15" s="45"/>
      <c r="E15" s="45"/>
      <c r="F15" s="45"/>
      <c r="G15" s="1"/>
      <c r="H15" s="1"/>
      <c r="I15" s="1"/>
      <c r="J15" s="1"/>
      <c r="K15" s="1"/>
      <c r="L15" s="1"/>
      <c r="M15" s="1"/>
      <c r="N15" s="1"/>
      <c r="O15" s="1"/>
      <c r="P15" s="1"/>
      <c r="Q15" s="1"/>
      <c r="R15" s="1"/>
      <c r="S15" s="1"/>
      <c r="T15" s="1"/>
      <c r="U15" s="1"/>
      <c r="V15" s="1"/>
      <c r="W15" s="1"/>
      <c r="X15" s="1"/>
      <c r="Y15" s="1"/>
      <c r="Z15" s="1"/>
    </row>
    <row r="16" customFormat="false" ht="15.75" hidden="false" customHeight="true" outlineLevel="0" collapsed="false">
      <c r="A16" s="46" t="s">
        <v>181</v>
      </c>
      <c r="B16" s="46"/>
      <c r="C16" s="46"/>
      <c r="D16" s="46"/>
      <c r="E16" s="46"/>
      <c r="F16" s="46"/>
      <c r="G16" s="1"/>
      <c r="H16" s="1"/>
      <c r="I16" s="1"/>
      <c r="J16" s="1"/>
      <c r="K16" s="1"/>
      <c r="L16" s="1"/>
      <c r="M16" s="1"/>
      <c r="N16" s="1"/>
      <c r="O16" s="1"/>
      <c r="P16" s="1"/>
      <c r="Q16" s="1"/>
      <c r="R16" s="1"/>
      <c r="S16" s="1"/>
      <c r="T16" s="1"/>
      <c r="U16" s="1"/>
      <c r="V16" s="1"/>
      <c r="W16" s="1"/>
      <c r="X16" s="1"/>
      <c r="Y16" s="1"/>
      <c r="Z16" s="1"/>
    </row>
    <row r="17" customFormat="false" ht="15.75" hidden="false" customHeight="true" outlineLevel="0" collapsed="false">
      <c r="A17" s="46" t="s">
        <v>160</v>
      </c>
      <c r="B17" s="46"/>
      <c r="C17" s="46"/>
      <c r="D17" s="46"/>
      <c r="E17" s="46"/>
      <c r="F17" s="46"/>
      <c r="G17" s="1"/>
      <c r="H17" s="1"/>
      <c r="I17" s="1"/>
      <c r="J17" s="1"/>
      <c r="K17" s="1"/>
      <c r="L17" s="1"/>
      <c r="M17" s="1"/>
      <c r="N17" s="1"/>
      <c r="O17" s="1"/>
      <c r="P17" s="1"/>
      <c r="Q17" s="1"/>
      <c r="R17" s="1"/>
      <c r="S17" s="1"/>
      <c r="T17" s="1"/>
      <c r="U17" s="1"/>
      <c r="V17" s="1"/>
      <c r="W17" s="1"/>
      <c r="X17" s="1"/>
      <c r="Y17" s="1"/>
      <c r="Z17" s="1"/>
    </row>
    <row r="18" customFormat="false" ht="15.75" hidden="false" customHeight="true" outlineLevel="0" collapsed="false">
      <c r="A18" s="46" t="s">
        <v>182</v>
      </c>
      <c r="B18" s="46"/>
      <c r="C18" s="46"/>
      <c r="D18" s="46"/>
      <c r="E18" s="46"/>
      <c r="F18" s="46"/>
      <c r="G18" s="1"/>
      <c r="H18" s="1"/>
      <c r="I18" s="1"/>
      <c r="J18" s="1"/>
      <c r="K18" s="1"/>
      <c r="L18" s="1"/>
      <c r="M18" s="1"/>
      <c r="N18" s="1"/>
      <c r="O18" s="1"/>
      <c r="P18" s="1"/>
      <c r="Q18" s="1"/>
      <c r="R18" s="1"/>
      <c r="S18" s="1"/>
      <c r="T18" s="1"/>
      <c r="U18" s="1"/>
      <c r="V18" s="1"/>
      <c r="W18" s="1"/>
      <c r="X18" s="1"/>
      <c r="Y18" s="1"/>
      <c r="Z18" s="1"/>
    </row>
    <row r="19" customFormat="false" ht="15.75" hidden="false" customHeight="true" outlineLevel="0" collapsed="false">
      <c r="A19" s="46" t="s">
        <v>166</v>
      </c>
      <c r="B19" s="46"/>
      <c r="C19" s="46"/>
      <c r="D19" s="46"/>
      <c r="E19" s="46"/>
      <c r="F19" s="46"/>
      <c r="G19" s="1"/>
      <c r="H19" s="1"/>
      <c r="I19" s="1"/>
      <c r="J19" s="1"/>
      <c r="K19" s="1"/>
      <c r="L19" s="1"/>
      <c r="M19" s="1"/>
      <c r="N19" s="1"/>
      <c r="O19" s="1"/>
      <c r="P19" s="1"/>
      <c r="Q19" s="1"/>
      <c r="R19" s="1"/>
      <c r="S19" s="1"/>
      <c r="T19" s="1"/>
      <c r="U19" s="1"/>
      <c r="V19" s="1"/>
      <c r="W19" s="1"/>
      <c r="X19" s="1"/>
      <c r="Y19" s="1"/>
      <c r="Z19" s="1"/>
    </row>
    <row r="20" customFormat="false" ht="15.75" hidden="false" customHeight="true" outlineLevel="0" collapsed="false">
      <c r="A20" s="46" t="s">
        <v>183</v>
      </c>
      <c r="B20" s="46"/>
      <c r="C20" s="46"/>
      <c r="D20" s="46"/>
      <c r="E20" s="46"/>
      <c r="F20" s="46"/>
      <c r="G20" s="1"/>
      <c r="H20" s="1"/>
      <c r="I20" s="1"/>
      <c r="J20" s="1"/>
      <c r="K20" s="1"/>
      <c r="L20" s="1"/>
      <c r="M20" s="1"/>
      <c r="N20" s="1"/>
      <c r="O20" s="1"/>
      <c r="P20" s="1"/>
      <c r="Q20" s="1"/>
      <c r="R20" s="1"/>
      <c r="S20" s="1"/>
      <c r="T20" s="1"/>
      <c r="U20" s="1"/>
      <c r="V20" s="1"/>
      <c r="W20" s="1"/>
      <c r="X20" s="1"/>
      <c r="Y20" s="1"/>
      <c r="Z20" s="1"/>
    </row>
    <row r="21" customFormat="false" ht="15.75" hidden="false" customHeight="true" outlineLevel="0" collapsed="false">
      <c r="A21" s="46" t="s">
        <v>184</v>
      </c>
      <c r="B21" s="46"/>
      <c r="C21" s="46"/>
      <c r="D21" s="46"/>
      <c r="E21" s="46"/>
      <c r="F21" s="46"/>
      <c r="G21" s="1"/>
      <c r="H21" s="1"/>
      <c r="I21" s="1"/>
      <c r="J21" s="1"/>
      <c r="K21" s="1"/>
      <c r="L21" s="1"/>
      <c r="M21" s="1"/>
      <c r="N21" s="1"/>
      <c r="O21" s="1"/>
      <c r="P21" s="1"/>
      <c r="Q21" s="1"/>
      <c r="R21" s="1"/>
      <c r="S21" s="1"/>
      <c r="T21" s="1"/>
      <c r="U21" s="1"/>
      <c r="V21" s="1"/>
      <c r="W21" s="1"/>
      <c r="X21" s="1"/>
      <c r="Y21" s="1"/>
      <c r="Z21" s="1"/>
    </row>
    <row r="22" customFormat="false" ht="15.75" hidden="false" customHeight="true" outlineLevel="0" collapsed="false">
      <c r="G22" s="1"/>
      <c r="H22" s="1"/>
      <c r="I22" s="1"/>
      <c r="J22" s="1"/>
      <c r="K22" s="1"/>
      <c r="L22" s="1"/>
      <c r="M22" s="1"/>
      <c r="N22" s="1"/>
      <c r="O22" s="1"/>
      <c r="P22" s="1"/>
      <c r="Q22" s="1"/>
      <c r="R22" s="1"/>
      <c r="S22" s="1"/>
      <c r="T22" s="1"/>
      <c r="U22" s="1"/>
      <c r="V22" s="1"/>
      <c r="W22" s="1"/>
      <c r="X22" s="1"/>
      <c r="Y22" s="1"/>
      <c r="Z22" s="1"/>
    </row>
    <row r="23" customFormat="false" ht="15.75" hidden="false" customHeight="true" outlineLevel="0" collapsed="false">
      <c r="G23" s="1"/>
      <c r="H23" s="1"/>
      <c r="I23" s="1"/>
      <c r="J23" s="1"/>
      <c r="K23" s="1"/>
      <c r="L23" s="1"/>
      <c r="M23" s="1"/>
      <c r="N23" s="1"/>
      <c r="O23" s="1"/>
      <c r="P23" s="1"/>
      <c r="Q23" s="1"/>
      <c r="R23" s="1"/>
      <c r="S23" s="1"/>
      <c r="T23" s="1"/>
      <c r="U23" s="1"/>
      <c r="V23" s="1"/>
      <c r="W23" s="1"/>
      <c r="X23" s="1"/>
      <c r="Y23" s="1"/>
      <c r="Z23" s="1"/>
    </row>
    <row r="24" customFormat="false" ht="15.75" hidden="false" customHeight="true" outlineLevel="0" collapsed="false">
      <c r="G24" s="1"/>
      <c r="H24" s="1"/>
      <c r="I24" s="1"/>
      <c r="J24" s="1"/>
      <c r="K24" s="1"/>
      <c r="L24" s="1"/>
      <c r="M24" s="1"/>
      <c r="N24" s="1"/>
      <c r="O24" s="1"/>
      <c r="P24" s="1"/>
      <c r="Q24" s="1"/>
      <c r="R24" s="1"/>
      <c r="S24" s="1"/>
      <c r="T24" s="1"/>
      <c r="U24" s="1"/>
      <c r="V24" s="1"/>
      <c r="W24" s="1"/>
      <c r="X24" s="1"/>
      <c r="Y24" s="1"/>
      <c r="Z24" s="1"/>
    </row>
    <row r="25" customFormat="false" ht="15.75" hidden="false" customHeight="true" outlineLevel="0" collapsed="false">
      <c r="G25" s="1"/>
      <c r="H25" s="1"/>
      <c r="I25" s="1"/>
      <c r="J25" s="1"/>
      <c r="K25" s="1"/>
      <c r="L25" s="1"/>
      <c r="M25" s="1"/>
      <c r="N25" s="1"/>
      <c r="O25" s="1"/>
      <c r="P25" s="1"/>
      <c r="Q25" s="1"/>
      <c r="R25" s="1"/>
      <c r="S25" s="1"/>
      <c r="T25" s="1"/>
      <c r="U25" s="1"/>
      <c r="V25" s="1"/>
      <c r="W25" s="1"/>
      <c r="X25" s="1"/>
      <c r="Y25" s="1"/>
      <c r="Z25" s="1"/>
    </row>
    <row r="26" customFormat="false" ht="15.75" hidden="false" customHeight="true" outlineLevel="0" collapsed="false">
      <c r="G26" s="1"/>
      <c r="H26" s="1"/>
      <c r="I26" s="1"/>
      <c r="J26" s="1"/>
      <c r="K26" s="1"/>
      <c r="L26" s="1"/>
      <c r="M26" s="1"/>
      <c r="N26" s="1"/>
      <c r="O26" s="1"/>
      <c r="P26" s="1"/>
      <c r="Q26" s="1"/>
      <c r="R26" s="1"/>
      <c r="S26" s="1"/>
      <c r="T26" s="1"/>
      <c r="U26" s="1"/>
      <c r="V26" s="1"/>
      <c r="W26" s="1"/>
      <c r="X26" s="1"/>
      <c r="Y26" s="1"/>
      <c r="Z26" s="1"/>
    </row>
    <row r="27" customFormat="false" ht="15.75" hidden="false" customHeight="true" outlineLevel="0" collapsed="false">
      <c r="G27" s="1"/>
      <c r="H27" s="1"/>
      <c r="I27" s="1"/>
      <c r="J27" s="1"/>
      <c r="K27" s="1"/>
      <c r="L27" s="1"/>
      <c r="M27" s="1"/>
      <c r="N27" s="1"/>
      <c r="O27" s="1"/>
      <c r="P27" s="1"/>
      <c r="Q27" s="1"/>
      <c r="R27" s="1"/>
      <c r="S27" s="1"/>
      <c r="T27" s="1"/>
      <c r="U27" s="1"/>
      <c r="V27" s="1"/>
      <c r="W27" s="1"/>
      <c r="X27" s="1"/>
      <c r="Y27" s="1"/>
      <c r="Z27" s="1"/>
    </row>
    <row r="28" customFormat="false" ht="15.75" hidden="false" customHeight="true" outlineLevel="0" collapsed="false">
      <c r="G28" s="1"/>
      <c r="H28" s="1"/>
      <c r="I28" s="1"/>
      <c r="J28" s="1"/>
      <c r="K28" s="1"/>
      <c r="L28" s="1"/>
      <c r="M28" s="1"/>
      <c r="N28" s="1"/>
      <c r="O28" s="1"/>
      <c r="P28" s="1"/>
      <c r="Q28" s="1"/>
      <c r="R28" s="1"/>
      <c r="S28" s="1"/>
      <c r="T28" s="1"/>
      <c r="U28" s="1"/>
      <c r="V28" s="1"/>
      <c r="W28" s="1"/>
      <c r="X28" s="1"/>
      <c r="Y28" s="1"/>
      <c r="Z28" s="1"/>
    </row>
    <row r="29" customFormat="false" ht="15.75" hidden="false" customHeight="true" outlineLevel="0" collapsed="false">
      <c r="G29" s="1"/>
      <c r="H29" s="1"/>
      <c r="I29" s="1"/>
      <c r="J29" s="1"/>
      <c r="K29" s="1"/>
      <c r="L29" s="1"/>
      <c r="M29" s="1"/>
      <c r="N29" s="1"/>
      <c r="O29" s="1"/>
      <c r="P29" s="1"/>
      <c r="Q29" s="1"/>
      <c r="R29" s="1"/>
      <c r="S29" s="1"/>
      <c r="T29" s="1"/>
      <c r="U29" s="1"/>
      <c r="V29" s="1"/>
      <c r="W29" s="1"/>
      <c r="X29" s="1"/>
      <c r="Y29" s="1"/>
      <c r="Z29" s="1"/>
    </row>
    <row r="30" customFormat="false" ht="15.75" hidden="false" customHeight="true" outlineLevel="0" collapsed="false">
      <c r="G30" s="1"/>
      <c r="H30" s="1"/>
      <c r="I30" s="1"/>
      <c r="J30" s="1"/>
      <c r="K30" s="1"/>
      <c r="L30" s="1"/>
      <c r="M30" s="1"/>
      <c r="N30" s="1"/>
      <c r="O30" s="1"/>
      <c r="P30" s="1"/>
      <c r="Q30" s="1"/>
      <c r="R30" s="1"/>
      <c r="S30" s="1"/>
      <c r="T30" s="1"/>
      <c r="U30" s="1"/>
      <c r="V30" s="1"/>
      <c r="W30" s="1"/>
      <c r="X30" s="1"/>
      <c r="Y30" s="1"/>
      <c r="Z30" s="1"/>
    </row>
    <row r="31" customFormat="false" ht="15.75" hidden="false" customHeight="true" outlineLevel="0" collapsed="false">
      <c r="G31" s="1"/>
      <c r="H31" s="1"/>
      <c r="I31" s="1"/>
      <c r="J31" s="1"/>
      <c r="K31" s="1"/>
      <c r="L31" s="1"/>
      <c r="M31" s="1"/>
      <c r="N31" s="1"/>
      <c r="O31" s="1"/>
      <c r="P31" s="1"/>
      <c r="Q31" s="1"/>
      <c r="R31" s="1"/>
      <c r="S31" s="1"/>
      <c r="T31" s="1"/>
      <c r="U31" s="1"/>
      <c r="V31" s="1"/>
      <c r="W31" s="1"/>
      <c r="X31" s="1"/>
      <c r="Y31" s="1"/>
      <c r="Z31" s="1"/>
    </row>
    <row r="32" customFormat="false" ht="15.75" hidden="false" customHeight="true" outlineLevel="0" collapsed="false">
      <c r="G32" s="1"/>
      <c r="H32" s="1"/>
      <c r="I32" s="1"/>
      <c r="J32" s="1"/>
      <c r="K32" s="1"/>
      <c r="L32" s="1"/>
      <c r="M32" s="1"/>
      <c r="N32" s="1"/>
      <c r="O32" s="1"/>
      <c r="P32" s="1"/>
      <c r="Q32" s="1"/>
      <c r="R32" s="1"/>
      <c r="S32" s="1"/>
      <c r="T32" s="1"/>
      <c r="U32" s="1"/>
      <c r="V32" s="1"/>
      <c r="W32" s="1"/>
      <c r="X32" s="1"/>
      <c r="Y32" s="1"/>
      <c r="Z32" s="1"/>
    </row>
    <row r="33" customFormat="false" ht="15.75" hidden="false" customHeight="true" outlineLevel="0" collapsed="false">
      <c r="G33" s="1"/>
      <c r="H33" s="1"/>
      <c r="I33" s="1"/>
      <c r="J33" s="1"/>
      <c r="K33" s="1"/>
      <c r="L33" s="1"/>
      <c r="M33" s="1"/>
      <c r="N33" s="1"/>
      <c r="O33" s="1"/>
      <c r="P33" s="1"/>
      <c r="Q33" s="1"/>
      <c r="R33" s="1"/>
      <c r="S33" s="1"/>
      <c r="T33" s="1"/>
      <c r="U33" s="1"/>
      <c r="V33" s="1"/>
      <c r="W33" s="1"/>
      <c r="X33" s="1"/>
      <c r="Y33" s="1"/>
      <c r="Z33" s="1"/>
    </row>
    <row r="34" customFormat="false" ht="15.75" hidden="false" customHeight="true" outlineLevel="0" collapsed="false">
      <c r="G34" s="1"/>
      <c r="H34" s="1"/>
      <c r="I34" s="1"/>
      <c r="J34" s="1"/>
      <c r="K34" s="1"/>
      <c r="L34" s="1"/>
      <c r="M34" s="1"/>
      <c r="N34" s="1"/>
      <c r="O34" s="1"/>
      <c r="P34" s="1"/>
      <c r="Q34" s="1"/>
      <c r="R34" s="1"/>
      <c r="S34" s="1"/>
      <c r="T34" s="1"/>
      <c r="U34" s="1"/>
      <c r="V34" s="1"/>
      <c r="W34" s="1"/>
      <c r="X34" s="1"/>
      <c r="Y34" s="1"/>
      <c r="Z34" s="1"/>
    </row>
    <row r="35" customFormat="false" ht="15.75" hidden="false" customHeight="true" outlineLevel="0" collapsed="false">
      <c r="G35" s="1"/>
      <c r="H35" s="1"/>
      <c r="I35" s="1"/>
      <c r="J35" s="1"/>
      <c r="K35" s="1"/>
      <c r="L35" s="1"/>
      <c r="M35" s="1"/>
      <c r="N35" s="1"/>
      <c r="O35" s="1"/>
      <c r="P35" s="1"/>
      <c r="Q35" s="1"/>
      <c r="R35" s="1"/>
      <c r="S35" s="1"/>
      <c r="T35" s="1"/>
      <c r="U35" s="1"/>
      <c r="V35" s="1"/>
      <c r="W35" s="1"/>
      <c r="X35" s="1"/>
      <c r="Y35" s="1"/>
      <c r="Z35" s="1"/>
    </row>
    <row r="36" customFormat="false" ht="15.75" hidden="false" customHeight="true" outlineLevel="0" collapsed="false">
      <c r="G36" s="1"/>
      <c r="H36" s="1"/>
      <c r="I36" s="1"/>
      <c r="J36" s="1"/>
      <c r="K36" s="1"/>
      <c r="L36" s="1"/>
      <c r="M36" s="1"/>
      <c r="N36" s="1"/>
      <c r="O36" s="1"/>
      <c r="P36" s="1"/>
      <c r="Q36" s="1"/>
      <c r="R36" s="1"/>
      <c r="S36" s="1"/>
      <c r="T36" s="1"/>
      <c r="U36" s="1"/>
      <c r="V36" s="1"/>
      <c r="W36" s="1"/>
      <c r="X36" s="1"/>
      <c r="Y36" s="1"/>
      <c r="Z36" s="1"/>
    </row>
    <row r="37" customFormat="false" ht="15.75" hidden="false" customHeight="true" outlineLevel="0" collapsed="false">
      <c r="G37" s="1"/>
      <c r="H37" s="1"/>
      <c r="I37" s="1"/>
      <c r="J37" s="1"/>
      <c r="K37" s="1"/>
      <c r="L37" s="1"/>
      <c r="M37" s="1"/>
      <c r="N37" s="1"/>
      <c r="O37" s="1"/>
      <c r="P37" s="1"/>
      <c r="Q37" s="1"/>
      <c r="R37" s="1"/>
      <c r="S37" s="1"/>
      <c r="T37" s="1"/>
      <c r="U37" s="1"/>
      <c r="V37" s="1"/>
      <c r="W37" s="1"/>
      <c r="X37" s="1"/>
      <c r="Y37" s="1"/>
      <c r="Z37" s="1"/>
    </row>
    <row r="38" customFormat="false" ht="15.75" hidden="false" customHeight="true" outlineLevel="0" collapsed="false">
      <c r="G38" s="1"/>
      <c r="H38" s="1"/>
      <c r="I38" s="1"/>
      <c r="J38" s="1"/>
      <c r="K38" s="1"/>
      <c r="L38" s="1"/>
      <c r="M38" s="1"/>
      <c r="N38" s="1"/>
      <c r="O38" s="1"/>
      <c r="P38" s="1"/>
      <c r="Q38" s="1"/>
      <c r="R38" s="1"/>
      <c r="S38" s="1"/>
      <c r="T38" s="1"/>
      <c r="U38" s="1"/>
      <c r="V38" s="1"/>
      <c r="W38" s="1"/>
      <c r="X38" s="1"/>
      <c r="Y38" s="1"/>
      <c r="Z38" s="1"/>
    </row>
    <row r="39" customFormat="false" ht="15.75" hidden="false" customHeight="true" outlineLevel="0" collapsed="false">
      <c r="G39" s="1"/>
      <c r="H39" s="1"/>
      <c r="I39" s="1"/>
      <c r="J39" s="1"/>
      <c r="K39" s="1"/>
      <c r="L39" s="1"/>
      <c r="M39" s="1"/>
      <c r="N39" s="1"/>
      <c r="O39" s="1"/>
      <c r="P39" s="1"/>
      <c r="Q39" s="1"/>
      <c r="R39" s="1"/>
      <c r="S39" s="1"/>
      <c r="T39" s="1"/>
      <c r="U39" s="1"/>
      <c r="V39" s="1"/>
      <c r="W39" s="1"/>
      <c r="X39" s="1"/>
      <c r="Y39" s="1"/>
      <c r="Z39" s="1"/>
    </row>
    <row r="40" customFormat="false" ht="15.75" hidden="false" customHeight="true" outlineLevel="0" collapsed="false">
      <c r="G40" s="1"/>
      <c r="H40" s="1"/>
      <c r="I40" s="1"/>
      <c r="J40" s="1"/>
      <c r="K40" s="1"/>
      <c r="L40" s="1"/>
      <c r="M40" s="1"/>
      <c r="N40" s="1"/>
      <c r="O40" s="1"/>
      <c r="P40" s="1"/>
      <c r="Q40" s="1"/>
      <c r="R40" s="1"/>
      <c r="S40" s="1"/>
      <c r="T40" s="1"/>
      <c r="U40" s="1"/>
      <c r="V40" s="1"/>
      <c r="W40" s="1"/>
      <c r="X40" s="1"/>
      <c r="Y40" s="1"/>
      <c r="Z40" s="1"/>
    </row>
    <row r="41" customFormat="false" ht="15.75" hidden="false" customHeight="true" outlineLevel="0" collapsed="false">
      <c r="G41" s="1"/>
      <c r="H41" s="1"/>
      <c r="I41" s="1"/>
      <c r="J41" s="1"/>
      <c r="K41" s="1"/>
      <c r="L41" s="1"/>
      <c r="M41" s="1"/>
      <c r="N41" s="1"/>
      <c r="O41" s="1"/>
      <c r="P41" s="1"/>
      <c r="Q41" s="1"/>
      <c r="R41" s="1"/>
      <c r="S41" s="1"/>
      <c r="T41" s="1"/>
      <c r="U41" s="1"/>
      <c r="V41" s="1"/>
      <c r="W41" s="1"/>
      <c r="X41" s="1"/>
      <c r="Y41" s="1"/>
      <c r="Z41" s="1"/>
    </row>
    <row r="42" customFormat="false" ht="15.75" hidden="false" customHeight="true" outlineLevel="0" collapsed="false">
      <c r="G42" s="1"/>
      <c r="H42" s="1"/>
      <c r="I42" s="1"/>
      <c r="J42" s="1"/>
      <c r="K42" s="1"/>
      <c r="L42" s="1"/>
      <c r="M42" s="1"/>
      <c r="N42" s="1"/>
      <c r="O42" s="1"/>
      <c r="P42" s="1"/>
      <c r="Q42" s="1"/>
      <c r="R42" s="1"/>
      <c r="S42" s="1"/>
      <c r="T42" s="1"/>
      <c r="U42" s="1"/>
      <c r="V42" s="1"/>
      <c r="W42" s="1"/>
      <c r="X42" s="1"/>
      <c r="Y42" s="1"/>
      <c r="Z42" s="1"/>
    </row>
    <row r="43" customFormat="false" ht="15.75" hidden="false" customHeight="true" outlineLevel="0" collapsed="false">
      <c r="G43" s="1"/>
      <c r="H43" s="1"/>
      <c r="I43" s="1"/>
      <c r="J43" s="1"/>
      <c r="K43" s="1"/>
      <c r="L43" s="1"/>
      <c r="M43" s="1"/>
      <c r="N43" s="1"/>
      <c r="O43" s="1"/>
      <c r="P43" s="1"/>
      <c r="Q43" s="1"/>
      <c r="R43" s="1"/>
      <c r="S43" s="1"/>
      <c r="T43" s="1"/>
      <c r="U43" s="1"/>
      <c r="V43" s="1"/>
      <c r="W43" s="1"/>
      <c r="X43" s="1"/>
      <c r="Y43" s="1"/>
      <c r="Z43" s="1"/>
    </row>
    <row r="44" customFormat="false" ht="15.75" hidden="false" customHeight="true" outlineLevel="0" collapsed="false">
      <c r="G44" s="1"/>
      <c r="H44" s="1"/>
      <c r="I44" s="1"/>
      <c r="J44" s="1"/>
      <c r="K44" s="1"/>
      <c r="L44" s="1"/>
      <c r="M44" s="1"/>
      <c r="N44" s="1"/>
      <c r="O44" s="1"/>
      <c r="P44" s="1"/>
      <c r="Q44" s="1"/>
      <c r="R44" s="1"/>
      <c r="S44" s="1"/>
      <c r="T44" s="1"/>
      <c r="U44" s="1"/>
      <c r="V44" s="1"/>
      <c r="W44" s="1"/>
      <c r="X44" s="1"/>
      <c r="Y44" s="1"/>
      <c r="Z44" s="1"/>
    </row>
    <row r="45" customFormat="false" ht="15.75" hidden="false" customHeight="true" outlineLevel="0" collapsed="false">
      <c r="G45" s="1"/>
      <c r="H45" s="1"/>
      <c r="I45" s="1"/>
      <c r="J45" s="1"/>
      <c r="K45" s="1"/>
      <c r="L45" s="1"/>
      <c r="M45" s="1"/>
      <c r="N45" s="1"/>
      <c r="O45" s="1"/>
      <c r="P45" s="1"/>
      <c r="Q45" s="1"/>
      <c r="R45" s="1"/>
      <c r="S45" s="1"/>
      <c r="T45" s="1"/>
      <c r="U45" s="1"/>
      <c r="V45" s="1"/>
      <c r="W45" s="1"/>
      <c r="X45" s="1"/>
      <c r="Y45" s="1"/>
      <c r="Z45" s="1"/>
    </row>
    <row r="46" customFormat="false" ht="15.75" hidden="false" customHeight="true" outlineLevel="0" collapsed="false">
      <c r="G46" s="1"/>
      <c r="H46" s="1"/>
      <c r="I46" s="1"/>
      <c r="J46" s="1"/>
      <c r="K46" s="1"/>
      <c r="L46" s="1"/>
      <c r="M46" s="1"/>
      <c r="N46" s="1"/>
      <c r="O46" s="1"/>
      <c r="P46" s="1"/>
      <c r="Q46" s="1"/>
      <c r="R46" s="1"/>
      <c r="S46" s="1"/>
      <c r="T46" s="1"/>
      <c r="U46" s="1"/>
      <c r="V46" s="1"/>
      <c r="W46" s="1"/>
      <c r="X46" s="1"/>
      <c r="Y46" s="1"/>
      <c r="Z46" s="1"/>
    </row>
    <row r="47" customFormat="false" ht="15.75" hidden="false" customHeight="true" outlineLevel="0" collapsed="false">
      <c r="G47" s="1"/>
      <c r="H47" s="1"/>
      <c r="I47" s="1"/>
      <c r="J47" s="1"/>
      <c r="K47" s="1"/>
      <c r="L47" s="1"/>
      <c r="M47" s="1"/>
      <c r="N47" s="1"/>
      <c r="O47" s="1"/>
      <c r="P47" s="1"/>
      <c r="Q47" s="1"/>
      <c r="R47" s="1"/>
      <c r="S47" s="1"/>
      <c r="T47" s="1"/>
      <c r="U47" s="1"/>
      <c r="V47" s="1"/>
      <c r="W47" s="1"/>
      <c r="X47" s="1"/>
      <c r="Y47" s="1"/>
      <c r="Z47" s="1"/>
    </row>
    <row r="48" customFormat="false" ht="15.75" hidden="false" customHeight="true" outlineLevel="0" collapsed="false">
      <c r="G48" s="1"/>
      <c r="H48" s="1"/>
      <c r="I48" s="1"/>
      <c r="J48" s="1"/>
      <c r="K48" s="1"/>
      <c r="L48" s="1"/>
      <c r="M48" s="1"/>
      <c r="N48" s="1"/>
      <c r="O48" s="1"/>
      <c r="P48" s="1"/>
      <c r="Q48" s="1"/>
      <c r="R48" s="1"/>
      <c r="S48" s="1"/>
      <c r="T48" s="1"/>
      <c r="U48" s="1"/>
      <c r="V48" s="1"/>
      <c r="W48" s="1"/>
      <c r="X48" s="1"/>
      <c r="Y48" s="1"/>
      <c r="Z48" s="1"/>
    </row>
    <row r="49" customFormat="false" ht="15.75" hidden="false" customHeight="true" outlineLevel="0" collapsed="false">
      <c r="G49" s="1"/>
      <c r="H49" s="1"/>
      <c r="I49" s="1"/>
      <c r="J49" s="1"/>
      <c r="K49" s="1"/>
      <c r="L49" s="1"/>
      <c r="M49" s="1"/>
      <c r="N49" s="1"/>
      <c r="O49" s="1"/>
      <c r="P49" s="1"/>
      <c r="Q49" s="1"/>
      <c r="R49" s="1"/>
      <c r="S49" s="1"/>
      <c r="T49" s="1"/>
      <c r="U49" s="1"/>
      <c r="V49" s="1"/>
      <c r="W49" s="1"/>
      <c r="X49" s="1"/>
      <c r="Y49" s="1"/>
      <c r="Z49" s="1"/>
    </row>
    <row r="50" customFormat="false" ht="15.75" hidden="false" customHeight="true" outlineLevel="0" collapsed="false">
      <c r="G50" s="1"/>
      <c r="H50" s="1"/>
      <c r="I50" s="1"/>
      <c r="J50" s="1"/>
      <c r="K50" s="1"/>
      <c r="L50" s="1"/>
      <c r="M50" s="1"/>
      <c r="N50" s="1"/>
      <c r="O50" s="1"/>
      <c r="P50" s="1"/>
      <c r="Q50" s="1"/>
      <c r="R50" s="1"/>
      <c r="S50" s="1"/>
      <c r="T50" s="1"/>
      <c r="U50" s="1"/>
      <c r="V50" s="1"/>
      <c r="W50" s="1"/>
      <c r="X50" s="1"/>
      <c r="Y50" s="1"/>
      <c r="Z50" s="1"/>
    </row>
    <row r="51" customFormat="false" ht="15.75" hidden="false" customHeight="true" outlineLevel="0" collapsed="false">
      <c r="G51" s="1"/>
      <c r="H51" s="1"/>
      <c r="I51" s="1"/>
      <c r="J51" s="1"/>
      <c r="K51" s="1"/>
      <c r="L51" s="1"/>
      <c r="M51" s="1"/>
      <c r="N51" s="1"/>
      <c r="O51" s="1"/>
      <c r="P51" s="1"/>
      <c r="Q51" s="1"/>
      <c r="R51" s="1"/>
      <c r="S51" s="1"/>
      <c r="T51" s="1"/>
      <c r="U51" s="1"/>
      <c r="V51" s="1"/>
      <c r="W51" s="1"/>
      <c r="X51" s="1"/>
      <c r="Y51" s="1"/>
      <c r="Z51" s="1"/>
    </row>
    <row r="52" customFormat="false" ht="15.75" hidden="false" customHeight="true" outlineLevel="0" collapsed="false">
      <c r="G52" s="1"/>
      <c r="H52" s="1"/>
      <c r="I52" s="1"/>
      <c r="J52" s="1"/>
      <c r="K52" s="1"/>
      <c r="L52" s="1"/>
      <c r="M52" s="1"/>
      <c r="N52" s="1"/>
      <c r="O52" s="1"/>
      <c r="P52" s="1"/>
      <c r="Q52" s="1"/>
      <c r="R52" s="1"/>
      <c r="S52" s="1"/>
      <c r="T52" s="1"/>
      <c r="U52" s="1"/>
      <c r="V52" s="1"/>
      <c r="W52" s="1"/>
      <c r="X52" s="1"/>
      <c r="Y52" s="1"/>
      <c r="Z52" s="1"/>
    </row>
    <row r="53" customFormat="false" ht="15.75" hidden="false" customHeight="true" outlineLevel="0" collapsed="false">
      <c r="G53" s="1"/>
      <c r="H53" s="1"/>
      <c r="I53" s="1"/>
      <c r="J53" s="1"/>
      <c r="K53" s="1"/>
      <c r="L53" s="1"/>
      <c r="M53" s="1"/>
      <c r="N53" s="1"/>
      <c r="O53" s="1"/>
      <c r="P53" s="1"/>
      <c r="Q53" s="1"/>
      <c r="R53" s="1"/>
      <c r="S53" s="1"/>
      <c r="T53" s="1"/>
      <c r="U53" s="1"/>
      <c r="V53" s="1"/>
      <c r="W53" s="1"/>
      <c r="X53" s="1"/>
      <c r="Y53" s="1"/>
      <c r="Z53" s="1"/>
    </row>
    <row r="54" customFormat="false" ht="15.75" hidden="false" customHeight="true" outlineLevel="0" collapsed="false">
      <c r="G54" s="1"/>
      <c r="H54" s="1"/>
      <c r="I54" s="1"/>
      <c r="J54" s="1"/>
      <c r="K54" s="1"/>
      <c r="L54" s="1"/>
      <c r="M54" s="1"/>
      <c r="N54" s="1"/>
      <c r="O54" s="1"/>
      <c r="P54" s="1"/>
      <c r="Q54" s="1"/>
      <c r="R54" s="1"/>
      <c r="S54" s="1"/>
      <c r="T54" s="1"/>
      <c r="U54" s="1"/>
      <c r="V54" s="1"/>
      <c r="W54" s="1"/>
      <c r="X54" s="1"/>
      <c r="Y54" s="1"/>
      <c r="Z54" s="1"/>
    </row>
    <row r="55" customFormat="false" ht="15.75" hidden="false" customHeight="true" outlineLevel="0" collapsed="false">
      <c r="G55" s="1"/>
      <c r="H55" s="1"/>
      <c r="I55" s="1"/>
      <c r="J55" s="1"/>
      <c r="K55" s="1"/>
      <c r="L55" s="1"/>
      <c r="M55" s="1"/>
      <c r="N55" s="1"/>
      <c r="O55" s="1"/>
      <c r="P55" s="1"/>
      <c r="Q55" s="1"/>
      <c r="R55" s="1"/>
      <c r="S55" s="1"/>
      <c r="T55" s="1"/>
      <c r="U55" s="1"/>
      <c r="V55" s="1"/>
      <c r="W55" s="1"/>
      <c r="X55" s="1"/>
      <c r="Y55" s="1"/>
      <c r="Z55" s="1"/>
    </row>
    <row r="56" customFormat="false" ht="15.75" hidden="false" customHeight="true" outlineLevel="0" collapsed="false">
      <c r="G56" s="1"/>
      <c r="H56" s="1"/>
      <c r="I56" s="1"/>
      <c r="J56" s="1"/>
      <c r="K56" s="1"/>
      <c r="L56" s="1"/>
      <c r="M56" s="1"/>
      <c r="N56" s="1"/>
      <c r="O56" s="1"/>
      <c r="P56" s="1"/>
      <c r="Q56" s="1"/>
      <c r="R56" s="1"/>
      <c r="S56" s="1"/>
      <c r="T56" s="1"/>
      <c r="U56" s="1"/>
      <c r="V56" s="1"/>
      <c r="W56" s="1"/>
      <c r="X56" s="1"/>
      <c r="Y56" s="1"/>
      <c r="Z56" s="1"/>
    </row>
    <row r="57" customFormat="false" ht="15.75" hidden="false" customHeight="true" outlineLevel="0" collapsed="false">
      <c r="G57" s="1"/>
      <c r="H57" s="1"/>
      <c r="I57" s="1"/>
      <c r="J57" s="1"/>
      <c r="K57" s="1"/>
      <c r="L57" s="1"/>
      <c r="M57" s="1"/>
      <c r="N57" s="1"/>
      <c r="O57" s="1"/>
      <c r="P57" s="1"/>
      <c r="Q57" s="1"/>
      <c r="R57" s="1"/>
      <c r="S57" s="1"/>
      <c r="T57" s="1"/>
      <c r="U57" s="1"/>
      <c r="V57" s="1"/>
      <c r="W57" s="1"/>
      <c r="X57" s="1"/>
      <c r="Y57" s="1"/>
      <c r="Z57" s="1"/>
    </row>
    <row r="58" customFormat="false" ht="15.75" hidden="false" customHeight="true" outlineLevel="0" collapsed="false">
      <c r="G58" s="1"/>
      <c r="H58" s="1"/>
      <c r="I58" s="1"/>
      <c r="J58" s="1"/>
      <c r="K58" s="1"/>
      <c r="L58" s="1"/>
      <c r="M58" s="1"/>
      <c r="N58" s="1"/>
      <c r="O58" s="1"/>
      <c r="P58" s="1"/>
      <c r="Q58" s="1"/>
      <c r="R58" s="1"/>
      <c r="S58" s="1"/>
      <c r="T58" s="1"/>
      <c r="U58" s="1"/>
      <c r="V58" s="1"/>
      <c r="W58" s="1"/>
      <c r="X58" s="1"/>
      <c r="Y58" s="1"/>
      <c r="Z58" s="1"/>
    </row>
    <row r="59" customFormat="false" ht="15.75" hidden="false" customHeight="true" outlineLevel="0" collapsed="false">
      <c r="G59" s="1"/>
      <c r="H59" s="1"/>
      <c r="I59" s="1"/>
      <c r="J59" s="1"/>
      <c r="K59" s="1"/>
      <c r="L59" s="1"/>
      <c r="M59" s="1"/>
      <c r="N59" s="1"/>
      <c r="O59" s="1"/>
      <c r="P59" s="1"/>
      <c r="Q59" s="1"/>
      <c r="R59" s="1"/>
      <c r="S59" s="1"/>
      <c r="T59" s="1"/>
      <c r="U59" s="1"/>
      <c r="V59" s="1"/>
      <c r="W59" s="1"/>
      <c r="X59" s="1"/>
      <c r="Y59" s="1"/>
      <c r="Z59" s="1"/>
    </row>
    <row r="60" customFormat="false" ht="15.75" hidden="false" customHeight="true" outlineLevel="0" collapsed="false">
      <c r="G60" s="1"/>
      <c r="H60" s="1"/>
      <c r="I60" s="1"/>
      <c r="J60" s="1"/>
      <c r="K60" s="1"/>
      <c r="L60" s="1"/>
      <c r="M60" s="1"/>
      <c r="N60" s="1"/>
      <c r="O60" s="1"/>
      <c r="P60" s="1"/>
      <c r="Q60" s="1"/>
      <c r="R60" s="1"/>
      <c r="S60" s="1"/>
      <c r="T60" s="1"/>
      <c r="U60" s="1"/>
      <c r="V60" s="1"/>
      <c r="W60" s="1"/>
      <c r="X60" s="1"/>
      <c r="Y60" s="1"/>
      <c r="Z60" s="1"/>
    </row>
    <row r="61" customFormat="false" ht="15.75" hidden="false" customHeight="true" outlineLevel="0" collapsed="false">
      <c r="G61" s="1"/>
      <c r="H61" s="1"/>
      <c r="I61" s="1"/>
      <c r="J61" s="1"/>
      <c r="K61" s="1"/>
      <c r="L61" s="1"/>
      <c r="M61" s="1"/>
      <c r="N61" s="1"/>
      <c r="O61" s="1"/>
      <c r="P61" s="1"/>
      <c r="Q61" s="1"/>
      <c r="R61" s="1"/>
      <c r="S61" s="1"/>
      <c r="T61" s="1"/>
      <c r="U61" s="1"/>
      <c r="V61" s="1"/>
      <c r="W61" s="1"/>
      <c r="X61" s="1"/>
      <c r="Y61" s="1"/>
      <c r="Z61" s="1"/>
    </row>
    <row r="62" customFormat="false" ht="15.75" hidden="false" customHeight="true" outlineLevel="0" collapsed="false">
      <c r="G62" s="1"/>
      <c r="H62" s="1"/>
      <c r="I62" s="1"/>
      <c r="J62" s="1"/>
      <c r="K62" s="1"/>
      <c r="L62" s="1"/>
      <c r="M62" s="1"/>
      <c r="N62" s="1"/>
      <c r="O62" s="1"/>
      <c r="P62" s="1"/>
      <c r="Q62" s="1"/>
      <c r="R62" s="1"/>
      <c r="S62" s="1"/>
      <c r="T62" s="1"/>
      <c r="U62" s="1"/>
      <c r="V62" s="1"/>
      <c r="W62" s="1"/>
      <c r="X62" s="1"/>
      <c r="Y62" s="1"/>
      <c r="Z62" s="1"/>
    </row>
    <row r="63" customFormat="false" ht="15.75" hidden="false" customHeight="true" outlineLevel="0" collapsed="false">
      <c r="G63" s="1"/>
      <c r="H63" s="1"/>
      <c r="I63" s="1"/>
      <c r="J63" s="1"/>
      <c r="K63" s="1"/>
      <c r="L63" s="1"/>
      <c r="M63" s="1"/>
      <c r="N63" s="1"/>
      <c r="O63" s="1"/>
      <c r="P63" s="1"/>
      <c r="Q63" s="1"/>
      <c r="R63" s="1"/>
      <c r="S63" s="1"/>
      <c r="T63" s="1"/>
      <c r="U63" s="1"/>
      <c r="V63" s="1"/>
      <c r="W63" s="1"/>
      <c r="X63" s="1"/>
      <c r="Y63" s="1"/>
      <c r="Z63" s="1"/>
    </row>
    <row r="64" customFormat="false" ht="15.75" hidden="false" customHeight="true" outlineLevel="0" collapsed="false">
      <c r="G64" s="1"/>
      <c r="H64" s="1"/>
      <c r="I64" s="1"/>
      <c r="J64" s="1"/>
      <c r="K64" s="1"/>
      <c r="L64" s="1"/>
      <c r="M64" s="1"/>
      <c r="N64" s="1"/>
      <c r="O64" s="1"/>
      <c r="P64" s="1"/>
      <c r="Q64" s="1"/>
      <c r="R64" s="1"/>
      <c r="S64" s="1"/>
      <c r="T64" s="1"/>
      <c r="U64" s="1"/>
      <c r="V64" s="1"/>
      <c r="W64" s="1"/>
      <c r="X64" s="1"/>
      <c r="Y64" s="1"/>
      <c r="Z64" s="1"/>
    </row>
    <row r="65" customFormat="false" ht="15.75" hidden="false" customHeight="true" outlineLevel="0" collapsed="false">
      <c r="G65" s="1"/>
      <c r="H65" s="1"/>
      <c r="I65" s="1"/>
      <c r="J65" s="1"/>
      <c r="K65" s="1"/>
      <c r="L65" s="1"/>
      <c r="M65" s="1"/>
      <c r="N65" s="1"/>
      <c r="O65" s="1"/>
      <c r="P65" s="1"/>
      <c r="Q65" s="1"/>
      <c r="R65" s="1"/>
      <c r="S65" s="1"/>
      <c r="T65" s="1"/>
      <c r="U65" s="1"/>
      <c r="V65" s="1"/>
      <c r="W65" s="1"/>
      <c r="X65" s="1"/>
      <c r="Y65" s="1"/>
      <c r="Z65" s="1"/>
    </row>
    <row r="66" customFormat="false" ht="15.75" hidden="false" customHeight="true" outlineLevel="0" collapsed="false">
      <c r="G66" s="1"/>
      <c r="H66" s="1"/>
      <c r="I66" s="1"/>
      <c r="J66" s="1"/>
      <c r="K66" s="1"/>
      <c r="L66" s="1"/>
      <c r="M66" s="1"/>
      <c r="N66" s="1"/>
      <c r="O66" s="1"/>
      <c r="P66" s="1"/>
      <c r="Q66" s="1"/>
      <c r="R66" s="1"/>
      <c r="S66" s="1"/>
      <c r="T66" s="1"/>
      <c r="U66" s="1"/>
      <c r="V66" s="1"/>
      <c r="W66" s="1"/>
      <c r="X66" s="1"/>
      <c r="Y66" s="1"/>
      <c r="Z66" s="1"/>
    </row>
    <row r="67" customFormat="false" ht="15.75" hidden="false" customHeight="true" outlineLevel="0" collapsed="false">
      <c r="G67" s="1"/>
      <c r="H67" s="1"/>
      <c r="I67" s="1"/>
      <c r="J67" s="1"/>
      <c r="K67" s="1"/>
      <c r="L67" s="1"/>
      <c r="M67" s="1"/>
      <c r="N67" s="1"/>
      <c r="O67" s="1"/>
      <c r="P67" s="1"/>
      <c r="Q67" s="1"/>
      <c r="R67" s="1"/>
      <c r="S67" s="1"/>
      <c r="T67" s="1"/>
      <c r="U67" s="1"/>
      <c r="V67" s="1"/>
      <c r="W67" s="1"/>
      <c r="X67" s="1"/>
      <c r="Y67" s="1"/>
      <c r="Z67" s="1"/>
    </row>
    <row r="68" customFormat="false" ht="15.75" hidden="false" customHeight="true" outlineLevel="0" collapsed="false">
      <c r="G68" s="1"/>
      <c r="H68" s="1"/>
      <c r="I68" s="1"/>
      <c r="J68" s="1"/>
      <c r="K68" s="1"/>
      <c r="L68" s="1"/>
      <c r="M68" s="1"/>
      <c r="N68" s="1"/>
      <c r="O68" s="1"/>
      <c r="P68" s="1"/>
      <c r="Q68" s="1"/>
      <c r="R68" s="1"/>
      <c r="S68" s="1"/>
      <c r="T68" s="1"/>
      <c r="U68" s="1"/>
      <c r="V68" s="1"/>
      <c r="W68" s="1"/>
      <c r="X68" s="1"/>
      <c r="Y68" s="1"/>
      <c r="Z68" s="1"/>
    </row>
    <row r="69" customFormat="false" ht="15.75" hidden="false" customHeight="true" outlineLevel="0" collapsed="false">
      <c r="G69" s="1"/>
      <c r="H69" s="1"/>
      <c r="I69" s="1"/>
      <c r="J69" s="1"/>
      <c r="K69" s="1"/>
      <c r="L69" s="1"/>
      <c r="M69" s="1"/>
      <c r="N69" s="1"/>
      <c r="O69" s="1"/>
      <c r="P69" s="1"/>
      <c r="Q69" s="1"/>
      <c r="R69" s="1"/>
      <c r="S69" s="1"/>
      <c r="T69" s="1"/>
      <c r="U69" s="1"/>
      <c r="V69" s="1"/>
      <c r="W69" s="1"/>
      <c r="X69" s="1"/>
      <c r="Y69" s="1"/>
      <c r="Z69" s="1"/>
    </row>
    <row r="70" customFormat="false" ht="15.75" hidden="false" customHeight="true" outlineLevel="0" collapsed="false">
      <c r="G70" s="1"/>
      <c r="H70" s="1"/>
      <c r="I70" s="1"/>
      <c r="J70" s="1"/>
      <c r="K70" s="1"/>
      <c r="L70" s="1"/>
      <c r="M70" s="1"/>
      <c r="N70" s="1"/>
      <c r="O70" s="1"/>
      <c r="P70" s="1"/>
      <c r="Q70" s="1"/>
      <c r="R70" s="1"/>
      <c r="S70" s="1"/>
      <c r="T70" s="1"/>
      <c r="U70" s="1"/>
      <c r="V70" s="1"/>
      <c r="W70" s="1"/>
      <c r="X70" s="1"/>
      <c r="Y70" s="1"/>
      <c r="Z70" s="1"/>
    </row>
    <row r="71" customFormat="false" ht="15.75" hidden="false" customHeight="true" outlineLevel="0" collapsed="false">
      <c r="G71" s="1"/>
      <c r="H71" s="1"/>
      <c r="I71" s="1"/>
      <c r="J71" s="1"/>
      <c r="K71" s="1"/>
      <c r="L71" s="1"/>
      <c r="M71" s="1"/>
      <c r="N71" s="1"/>
      <c r="O71" s="1"/>
      <c r="P71" s="1"/>
      <c r="Q71" s="1"/>
      <c r="R71" s="1"/>
      <c r="S71" s="1"/>
      <c r="T71" s="1"/>
      <c r="U71" s="1"/>
      <c r="V71" s="1"/>
      <c r="W71" s="1"/>
      <c r="X71" s="1"/>
      <c r="Y71" s="1"/>
      <c r="Z71" s="1"/>
    </row>
    <row r="72" customFormat="false" ht="15.75" hidden="false" customHeight="true" outlineLevel="0" collapsed="false">
      <c r="G72" s="1"/>
      <c r="H72" s="1"/>
      <c r="I72" s="1"/>
      <c r="J72" s="1"/>
      <c r="K72" s="1"/>
      <c r="L72" s="1"/>
      <c r="M72" s="1"/>
      <c r="N72" s="1"/>
      <c r="O72" s="1"/>
      <c r="P72" s="1"/>
      <c r="Q72" s="1"/>
      <c r="R72" s="1"/>
      <c r="S72" s="1"/>
      <c r="T72" s="1"/>
      <c r="U72" s="1"/>
      <c r="V72" s="1"/>
      <c r="W72" s="1"/>
      <c r="X72" s="1"/>
      <c r="Y72" s="1"/>
      <c r="Z72" s="1"/>
    </row>
    <row r="73" customFormat="false" ht="15.75" hidden="false" customHeight="true" outlineLevel="0" collapsed="false">
      <c r="G73" s="1"/>
      <c r="H73" s="1"/>
      <c r="I73" s="1"/>
      <c r="J73" s="1"/>
      <c r="K73" s="1"/>
      <c r="L73" s="1"/>
      <c r="M73" s="1"/>
      <c r="N73" s="1"/>
      <c r="O73" s="1"/>
      <c r="P73" s="1"/>
      <c r="Q73" s="1"/>
      <c r="R73" s="1"/>
      <c r="S73" s="1"/>
      <c r="T73" s="1"/>
      <c r="U73" s="1"/>
      <c r="V73" s="1"/>
      <c r="W73" s="1"/>
      <c r="X73" s="1"/>
      <c r="Y73" s="1"/>
      <c r="Z73" s="1"/>
    </row>
    <row r="74" customFormat="false" ht="15.75" hidden="false" customHeight="true" outlineLevel="0" collapsed="false">
      <c r="G74" s="1"/>
      <c r="H74" s="1"/>
      <c r="I74" s="1"/>
      <c r="J74" s="1"/>
      <c r="K74" s="1"/>
      <c r="L74" s="1"/>
      <c r="M74" s="1"/>
      <c r="N74" s="1"/>
      <c r="O74" s="1"/>
      <c r="P74" s="1"/>
      <c r="Q74" s="1"/>
      <c r="R74" s="1"/>
      <c r="S74" s="1"/>
      <c r="T74" s="1"/>
      <c r="U74" s="1"/>
      <c r="V74" s="1"/>
      <c r="W74" s="1"/>
      <c r="X74" s="1"/>
      <c r="Y74" s="1"/>
      <c r="Z74" s="1"/>
    </row>
    <row r="75" customFormat="false" ht="15.75" hidden="false" customHeight="true" outlineLevel="0" collapsed="false">
      <c r="G75" s="1"/>
      <c r="H75" s="1"/>
      <c r="I75" s="1"/>
      <c r="J75" s="1"/>
      <c r="K75" s="1"/>
      <c r="L75" s="1"/>
      <c r="M75" s="1"/>
      <c r="N75" s="1"/>
      <c r="O75" s="1"/>
      <c r="P75" s="1"/>
      <c r="Q75" s="1"/>
      <c r="R75" s="1"/>
      <c r="S75" s="1"/>
      <c r="T75" s="1"/>
      <c r="U75" s="1"/>
      <c r="V75" s="1"/>
      <c r="W75" s="1"/>
      <c r="X75" s="1"/>
      <c r="Y75" s="1"/>
      <c r="Z75" s="1"/>
    </row>
    <row r="76" customFormat="false" ht="15.75" hidden="false" customHeight="true" outlineLevel="0" collapsed="false">
      <c r="G76" s="1"/>
      <c r="H76" s="1"/>
      <c r="I76" s="1"/>
      <c r="J76" s="1"/>
      <c r="K76" s="1"/>
      <c r="L76" s="1"/>
      <c r="M76" s="1"/>
      <c r="N76" s="1"/>
      <c r="O76" s="1"/>
      <c r="P76" s="1"/>
      <c r="Q76" s="1"/>
      <c r="R76" s="1"/>
      <c r="S76" s="1"/>
      <c r="T76" s="1"/>
      <c r="U76" s="1"/>
      <c r="V76" s="1"/>
      <c r="W76" s="1"/>
      <c r="X76" s="1"/>
      <c r="Y76" s="1"/>
      <c r="Z76" s="1"/>
    </row>
    <row r="77" customFormat="false" ht="15.75" hidden="false" customHeight="true" outlineLevel="0" collapsed="false">
      <c r="G77" s="1"/>
      <c r="H77" s="1"/>
      <c r="I77" s="1"/>
      <c r="J77" s="1"/>
      <c r="K77" s="1"/>
      <c r="L77" s="1"/>
      <c r="M77" s="1"/>
      <c r="N77" s="1"/>
      <c r="O77" s="1"/>
      <c r="P77" s="1"/>
      <c r="Q77" s="1"/>
      <c r="R77" s="1"/>
      <c r="S77" s="1"/>
      <c r="T77" s="1"/>
      <c r="U77" s="1"/>
      <c r="V77" s="1"/>
      <c r="W77" s="1"/>
      <c r="X77" s="1"/>
      <c r="Y77" s="1"/>
      <c r="Z77" s="1"/>
    </row>
    <row r="78" customFormat="false" ht="15.75" hidden="false" customHeight="true" outlineLevel="0" collapsed="false">
      <c r="G78" s="1"/>
      <c r="H78" s="1"/>
      <c r="I78" s="1"/>
      <c r="J78" s="1"/>
      <c r="K78" s="1"/>
      <c r="L78" s="1"/>
      <c r="M78" s="1"/>
      <c r="N78" s="1"/>
      <c r="O78" s="1"/>
      <c r="P78" s="1"/>
      <c r="Q78" s="1"/>
      <c r="R78" s="1"/>
      <c r="S78" s="1"/>
      <c r="T78" s="1"/>
      <c r="U78" s="1"/>
      <c r="V78" s="1"/>
      <c r="W78" s="1"/>
      <c r="X78" s="1"/>
      <c r="Y78" s="1"/>
      <c r="Z78" s="1"/>
    </row>
    <row r="79" customFormat="false" ht="15.75" hidden="false" customHeight="true" outlineLevel="0" collapsed="false">
      <c r="G79" s="1"/>
      <c r="H79" s="1"/>
      <c r="I79" s="1"/>
      <c r="J79" s="1"/>
      <c r="K79" s="1"/>
      <c r="L79" s="1"/>
      <c r="M79" s="1"/>
      <c r="N79" s="1"/>
      <c r="O79" s="1"/>
      <c r="P79" s="1"/>
      <c r="Q79" s="1"/>
      <c r="R79" s="1"/>
      <c r="S79" s="1"/>
      <c r="T79" s="1"/>
      <c r="U79" s="1"/>
      <c r="V79" s="1"/>
      <c r="W79" s="1"/>
      <c r="X79" s="1"/>
      <c r="Y79" s="1"/>
      <c r="Z79" s="1"/>
    </row>
    <row r="80" customFormat="false" ht="15.75" hidden="false" customHeight="true" outlineLevel="0" collapsed="false">
      <c r="G80" s="1"/>
      <c r="H80" s="1"/>
      <c r="I80" s="1"/>
      <c r="J80" s="1"/>
      <c r="K80" s="1"/>
      <c r="L80" s="1"/>
      <c r="M80" s="1"/>
      <c r="N80" s="1"/>
      <c r="O80" s="1"/>
      <c r="P80" s="1"/>
      <c r="Q80" s="1"/>
      <c r="R80" s="1"/>
      <c r="S80" s="1"/>
      <c r="T80" s="1"/>
      <c r="U80" s="1"/>
      <c r="V80" s="1"/>
      <c r="W80" s="1"/>
      <c r="X80" s="1"/>
      <c r="Y80" s="1"/>
      <c r="Z80" s="1"/>
    </row>
    <row r="81" customFormat="false" ht="15.75" hidden="false" customHeight="true" outlineLevel="0" collapsed="false">
      <c r="G81" s="1"/>
      <c r="H81" s="1"/>
      <c r="I81" s="1"/>
      <c r="J81" s="1"/>
      <c r="K81" s="1"/>
      <c r="L81" s="1"/>
      <c r="M81" s="1"/>
      <c r="N81" s="1"/>
      <c r="O81" s="1"/>
      <c r="P81" s="1"/>
      <c r="Q81" s="1"/>
      <c r="R81" s="1"/>
      <c r="S81" s="1"/>
      <c r="T81" s="1"/>
      <c r="U81" s="1"/>
      <c r="V81" s="1"/>
      <c r="W81" s="1"/>
      <c r="X81" s="1"/>
      <c r="Y81" s="1"/>
      <c r="Z81" s="1"/>
    </row>
    <row r="82" customFormat="false" ht="15.75" hidden="false" customHeight="true" outlineLevel="0" collapsed="false">
      <c r="G82" s="1"/>
      <c r="H82" s="1"/>
      <c r="I82" s="1"/>
      <c r="J82" s="1"/>
      <c r="K82" s="1"/>
      <c r="L82" s="1"/>
      <c r="M82" s="1"/>
      <c r="N82" s="1"/>
      <c r="O82" s="1"/>
      <c r="P82" s="1"/>
      <c r="Q82" s="1"/>
      <c r="R82" s="1"/>
      <c r="S82" s="1"/>
      <c r="T82" s="1"/>
      <c r="U82" s="1"/>
      <c r="V82" s="1"/>
      <c r="W82" s="1"/>
      <c r="X82" s="1"/>
      <c r="Y82" s="1"/>
      <c r="Z82" s="1"/>
    </row>
    <row r="83" customFormat="false" ht="15.75" hidden="false" customHeight="true" outlineLevel="0" collapsed="false">
      <c r="G83" s="1"/>
      <c r="H83" s="1"/>
      <c r="I83" s="1"/>
      <c r="J83" s="1"/>
      <c r="K83" s="1"/>
      <c r="L83" s="1"/>
      <c r="M83" s="1"/>
      <c r="N83" s="1"/>
      <c r="O83" s="1"/>
      <c r="P83" s="1"/>
      <c r="Q83" s="1"/>
      <c r="R83" s="1"/>
      <c r="S83" s="1"/>
      <c r="T83" s="1"/>
      <c r="U83" s="1"/>
      <c r="V83" s="1"/>
      <c r="W83" s="1"/>
      <c r="X83" s="1"/>
      <c r="Y83" s="1"/>
      <c r="Z83" s="1"/>
    </row>
    <row r="84" customFormat="false" ht="15.75" hidden="false" customHeight="true" outlineLevel="0" collapsed="false">
      <c r="G84" s="1"/>
      <c r="H84" s="1"/>
      <c r="I84" s="1"/>
      <c r="J84" s="1"/>
      <c r="K84" s="1"/>
      <c r="L84" s="1"/>
      <c r="M84" s="1"/>
      <c r="N84" s="1"/>
      <c r="O84" s="1"/>
      <c r="P84" s="1"/>
      <c r="Q84" s="1"/>
      <c r="R84" s="1"/>
      <c r="S84" s="1"/>
      <c r="T84" s="1"/>
      <c r="U84" s="1"/>
      <c r="V84" s="1"/>
      <c r="W84" s="1"/>
      <c r="X84" s="1"/>
      <c r="Y84" s="1"/>
      <c r="Z84" s="1"/>
    </row>
    <row r="85" customFormat="false" ht="15.75" hidden="false" customHeight="true" outlineLevel="0" collapsed="false">
      <c r="G85" s="1"/>
      <c r="H85" s="1"/>
      <c r="I85" s="1"/>
      <c r="J85" s="1"/>
      <c r="K85" s="1"/>
      <c r="L85" s="1"/>
      <c r="M85" s="1"/>
      <c r="N85" s="1"/>
      <c r="O85" s="1"/>
      <c r="P85" s="1"/>
      <c r="Q85" s="1"/>
      <c r="R85" s="1"/>
      <c r="S85" s="1"/>
      <c r="T85" s="1"/>
      <c r="U85" s="1"/>
      <c r="V85" s="1"/>
      <c r="W85" s="1"/>
      <c r="X85" s="1"/>
      <c r="Y85" s="1"/>
      <c r="Z85" s="1"/>
    </row>
    <row r="86" customFormat="false" ht="15.75" hidden="false" customHeight="true" outlineLevel="0" collapsed="false">
      <c r="G86" s="1"/>
      <c r="H86" s="1"/>
      <c r="I86" s="1"/>
      <c r="J86" s="1"/>
      <c r="K86" s="1"/>
      <c r="L86" s="1"/>
      <c r="M86" s="1"/>
      <c r="N86" s="1"/>
      <c r="O86" s="1"/>
      <c r="P86" s="1"/>
      <c r="Q86" s="1"/>
      <c r="R86" s="1"/>
      <c r="S86" s="1"/>
      <c r="T86" s="1"/>
      <c r="U86" s="1"/>
      <c r="V86" s="1"/>
      <c r="W86" s="1"/>
      <c r="X86" s="1"/>
      <c r="Y86" s="1"/>
      <c r="Z86" s="1"/>
    </row>
    <row r="87" customFormat="false" ht="15.75" hidden="false" customHeight="true" outlineLevel="0" collapsed="false">
      <c r="G87" s="1"/>
      <c r="H87" s="1"/>
      <c r="I87" s="1"/>
      <c r="J87" s="1"/>
      <c r="K87" s="1"/>
      <c r="L87" s="1"/>
      <c r="M87" s="1"/>
      <c r="N87" s="1"/>
      <c r="O87" s="1"/>
      <c r="P87" s="1"/>
      <c r="Q87" s="1"/>
      <c r="R87" s="1"/>
      <c r="S87" s="1"/>
      <c r="T87" s="1"/>
      <c r="U87" s="1"/>
      <c r="V87" s="1"/>
      <c r="W87" s="1"/>
      <c r="X87" s="1"/>
      <c r="Y87" s="1"/>
      <c r="Z87" s="1"/>
    </row>
    <row r="88" customFormat="false" ht="15.75" hidden="false" customHeight="true" outlineLevel="0" collapsed="false">
      <c r="G88" s="1"/>
      <c r="H88" s="1"/>
      <c r="I88" s="1"/>
      <c r="J88" s="1"/>
      <c r="K88" s="1"/>
      <c r="L88" s="1"/>
      <c r="M88" s="1"/>
      <c r="N88" s="1"/>
      <c r="O88" s="1"/>
      <c r="P88" s="1"/>
      <c r="Q88" s="1"/>
      <c r="R88" s="1"/>
      <c r="S88" s="1"/>
      <c r="T88" s="1"/>
      <c r="U88" s="1"/>
      <c r="V88" s="1"/>
      <c r="W88" s="1"/>
      <c r="X88" s="1"/>
      <c r="Y88" s="1"/>
      <c r="Z88" s="1"/>
    </row>
    <row r="89" customFormat="false" ht="15.75" hidden="false" customHeight="true" outlineLevel="0" collapsed="false">
      <c r="G89" s="1"/>
      <c r="H89" s="1"/>
      <c r="I89" s="1"/>
      <c r="J89" s="1"/>
      <c r="K89" s="1"/>
      <c r="L89" s="1"/>
      <c r="M89" s="1"/>
      <c r="N89" s="1"/>
      <c r="O89" s="1"/>
      <c r="P89" s="1"/>
      <c r="Q89" s="1"/>
      <c r="R89" s="1"/>
      <c r="S89" s="1"/>
      <c r="T89" s="1"/>
      <c r="U89" s="1"/>
      <c r="V89" s="1"/>
      <c r="W89" s="1"/>
      <c r="X89" s="1"/>
      <c r="Y89" s="1"/>
      <c r="Z89" s="1"/>
    </row>
    <row r="90" customFormat="false" ht="15.75" hidden="false" customHeight="true" outlineLevel="0" collapsed="false">
      <c r="G90" s="1"/>
      <c r="H90" s="1"/>
      <c r="I90" s="1"/>
      <c r="J90" s="1"/>
      <c r="K90" s="1"/>
      <c r="L90" s="1"/>
      <c r="M90" s="1"/>
      <c r="N90" s="1"/>
      <c r="O90" s="1"/>
      <c r="P90" s="1"/>
      <c r="Q90" s="1"/>
      <c r="R90" s="1"/>
      <c r="S90" s="1"/>
      <c r="T90" s="1"/>
      <c r="U90" s="1"/>
      <c r="V90" s="1"/>
      <c r="W90" s="1"/>
      <c r="X90" s="1"/>
      <c r="Y90" s="1"/>
      <c r="Z90" s="1"/>
    </row>
    <row r="91" customFormat="false" ht="15.75" hidden="false" customHeight="true" outlineLevel="0" collapsed="false">
      <c r="G91" s="1"/>
      <c r="H91" s="1"/>
      <c r="I91" s="1"/>
      <c r="J91" s="1"/>
      <c r="K91" s="1"/>
      <c r="L91" s="1"/>
      <c r="M91" s="1"/>
      <c r="N91" s="1"/>
      <c r="O91" s="1"/>
      <c r="P91" s="1"/>
      <c r="Q91" s="1"/>
      <c r="R91" s="1"/>
      <c r="S91" s="1"/>
      <c r="T91" s="1"/>
      <c r="U91" s="1"/>
      <c r="V91" s="1"/>
      <c r="W91" s="1"/>
      <c r="X91" s="1"/>
      <c r="Y91" s="1"/>
      <c r="Z91" s="1"/>
    </row>
    <row r="92" customFormat="false" ht="15.75" hidden="false" customHeight="true" outlineLevel="0" collapsed="false">
      <c r="G92" s="1"/>
      <c r="H92" s="1"/>
      <c r="I92" s="1"/>
      <c r="J92" s="1"/>
      <c r="K92" s="1"/>
      <c r="L92" s="1"/>
      <c r="M92" s="1"/>
      <c r="N92" s="1"/>
      <c r="O92" s="1"/>
      <c r="P92" s="1"/>
      <c r="Q92" s="1"/>
      <c r="R92" s="1"/>
      <c r="S92" s="1"/>
      <c r="T92" s="1"/>
      <c r="U92" s="1"/>
      <c r="V92" s="1"/>
      <c r="W92" s="1"/>
      <c r="X92" s="1"/>
      <c r="Y92" s="1"/>
      <c r="Z92" s="1"/>
    </row>
    <row r="93" customFormat="false" ht="15.75" hidden="false" customHeight="true" outlineLevel="0" collapsed="false">
      <c r="G93" s="1"/>
      <c r="H93" s="1"/>
      <c r="I93" s="1"/>
      <c r="J93" s="1"/>
      <c r="K93" s="1"/>
      <c r="L93" s="1"/>
      <c r="M93" s="1"/>
      <c r="N93" s="1"/>
      <c r="O93" s="1"/>
      <c r="P93" s="1"/>
      <c r="Q93" s="1"/>
      <c r="R93" s="1"/>
      <c r="S93" s="1"/>
      <c r="T93" s="1"/>
      <c r="U93" s="1"/>
      <c r="V93" s="1"/>
      <c r="W93" s="1"/>
      <c r="X93" s="1"/>
      <c r="Y93" s="1"/>
      <c r="Z93" s="1"/>
    </row>
    <row r="94" customFormat="false" ht="15.75" hidden="false" customHeight="true" outlineLevel="0" collapsed="false">
      <c r="G94" s="1"/>
      <c r="H94" s="1"/>
      <c r="I94" s="1"/>
      <c r="J94" s="1"/>
      <c r="K94" s="1"/>
      <c r="L94" s="1"/>
      <c r="M94" s="1"/>
      <c r="N94" s="1"/>
      <c r="O94" s="1"/>
      <c r="P94" s="1"/>
      <c r="Q94" s="1"/>
      <c r="R94" s="1"/>
      <c r="S94" s="1"/>
      <c r="T94" s="1"/>
      <c r="U94" s="1"/>
      <c r="V94" s="1"/>
      <c r="W94" s="1"/>
      <c r="X94" s="1"/>
      <c r="Y94" s="1"/>
      <c r="Z94" s="1"/>
    </row>
    <row r="95" customFormat="false" ht="15.75" hidden="false" customHeight="true" outlineLevel="0" collapsed="false">
      <c r="G95" s="1"/>
      <c r="H95" s="1"/>
      <c r="I95" s="1"/>
      <c r="J95" s="1"/>
      <c r="K95" s="1"/>
      <c r="L95" s="1"/>
      <c r="M95" s="1"/>
      <c r="N95" s="1"/>
      <c r="O95" s="1"/>
      <c r="P95" s="1"/>
      <c r="Q95" s="1"/>
      <c r="R95" s="1"/>
      <c r="S95" s="1"/>
      <c r="T95" s="1"/>
      <c r="U95" s="1"/>
      <c r="V95" s="1"/>
      <c r="W95" s="1"/>
      <c r="X95" s="1"/>
      <c r="Y95" s="1"/>
      <c r="Z95" s="1"/>
    </row>
    <row r="96" customFormat="false" ht="15.75" hidden="false" customHeight="true" outlineLevel="0" collapsed="false">
      <c r="G96" s="1"/>
      <c r="H96" s="1"/>
      <c r="I96" s="1"/>
      <c r="J96" s="1"/>
      <c r="K96" s="1"/>
      <c r="L96" s="1"/>
      <c r="M96" s="1"/>
      <c r="N96" s="1"/>
      <c r="O96" s="1"/>
      <c r="P96" s="1"/>
      <c r="Q96" s="1"/>
      <c r="R96" s="1"/>
      <c r="S96" s="1"/>
      <c r="T96" s="1"/>
      <c r="U96" s="1"/>
      <c r="V96" s="1"/>
      <c r="W96" s="1"/>
      <c r="X96" s="1"/>
      <c r="Y96" s="1"/>
      <c r="Z96" s="1"/>
    </row>
    <row r="97" customFormat="false" ht="15.75" hidden="false" customHeight="true" outlineLevel="0" collapsed="false">
      <c r="G97" s="1"/>
      <c r="H97" s="1"/>
      <c r="I97" s="1"/>
      <c r="J97" s="1"/>
      <c r="K97" s="1"/>
      <c r="L97" s="1"/>
      <c r="M97" s="1"/>
      <c r="N97" s="1"/>
      <c r="O97" s="1"/>
      <c r="P97" s="1"/>
      <c r="Q97" s="1"/>
      <c r="R97" s="1"/>
      <c r="S97" s="1"/>
      <c r="T97" s="1"/>
      <c r="U97" s="1"/>
      <c r="V97" s="1"/>
      <c r="W97" s="1"/>
      <c r="X97" s="1"/>
      <c r="Y97" s="1"/>
      <c r="Z97" s="1"/>
    </row>
    <row r="98" customFormat="false" ht="15.75" hidden="false" customHeight="true" outlineLevel="0" collapsed="false">
      <c r="G98" s="1"/>
      <c r="H98" s="1"/>
      <c r="I98" s="1"/>
      <c r="J98" s="1"/>
      <c r="K98" s="1"/>
      <c r="L98" s="1"/>
      <c r="M98" s="1"/>
      <c r="N98" s="1"/>
      <c r="O98" s="1"/>
      <c r="P98" s="1"/>
      <c r="Q98" s="1"/>
      <c r="R98" s="1"/>
      <c r="S98" s="1"/>
      <c r="T98" s="1"/>
      <c r="U98" s="1"/>
      <c r="V98" s="1"/>
      <c r="W98" s="1"/>
      <c r="X98" s="1"/>
      <c r="Y98" s="1"/>
      <c r="Z98" s="1"/>
    </row>
    <row r="99" customFormat="false" ht="15.75" hidden="false" customHeight="true" outlineLevel="0" collapsed="false">
      <c r="G99" s="1"/>
      <c r="H99" s="1"/>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G100" s="1"/>
      <c r="H100" s="1"/>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G101" s="1"/>
      <c r="H101" s="1"/>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G102" s="1"/>
      <c r="H102" s="1"/>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G103" s="1"/>
      <c r="H103" s="1"/>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G104" s="1"/>
      <c r="H104" s="1"/>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G105" s="1"/>
      <c r="H105" s="1"/>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G106" s="1"/>
      <c r="H106" s="1"/>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G107" s="1"/>
      <c r="H107" s="1"/>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G108" s="1"/>
      <c r="H108" s="1"/>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G109" s="1"/>
      <c r="H109" s="1"/>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G110" s="1"/>
      <c r="H110" s="1"/>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G111" s="1"/>
      <c r="H111" s="1"/>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G112" s="1"/>
      <c r="H112" s="1"/>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G113" s="1"/>
      <c r="H113" s="1"/>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G114" s="1"/>
      <c r="H114" s="1"/>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G115" s="1"/>
      <c r="H115" s="1"/>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G116" s="1"/>
      <c r="H116" s="1"/>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G117" s="1"/>
      <c r="H117" s="1"/>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G118" s="1"/>
      <c r="H118" s="1"/>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G119" s="1"/>
      <c r="H119" s="1"/>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G120" s="1"/>
      <c r="H120" s="1"/>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G121" s="1"/>
      <c r="H121" s="1"/>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G122" s="1"/>
      <c r="H122" s="1"/>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G123" s="1"/>
      <c r="H123" s="1"/>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G124" s="1"/>
      <c r="H124" s="1"/>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G125" s="1"/>
      <c r="H125" s="1"/>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G126" s="1"/>
      <c r="H126" s="1"/>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G127" s="1"/>
      <c r="H127" s="1"/>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G128" s="1"/>
      <c r="H128" s="1"/>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G129" s="1"/>
      <c r="H129" s="1"/>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G130" s="1"/>
      <c r="H130" s="1"/>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G131" s="1"/>
      <c r="H131" s="1"/>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G132" s="1"/>
      <c r="H132" s="1"/>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G133" s="1"/>
      <c r="H133" s="1"/>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G134" s="1"/>
      <c r="H134" s="1"/>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G135" s="1"/>
      <c r="H135" s="1"/>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G136" s="1"/>
      <c r="H136" s="1"/>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G137" s="1"/>
      <c r="H137" s="1"/>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G138" s="1"/>
      <c r="H138" s="1"/>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G139" s="1"/>
      <c r="H139" s="1"/>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G140" s="1"/>
      <c r="H140" s="1"/>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G141" s="1"/>
      <c r="H141" s="1"/>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G142" s="1"/>
      <c r="H142" s="1"/>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G143" s="1"/>
      <c r="H143" s="1"/>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G144" s="1"/>
      <c r="H144" s="1"/>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G145" s="1"/>
      <c r="H145" s="1"/>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G146" s="1"/>
      <c r="H146" s="1"/>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G147" s="1"/>
      <c r="H147" s="1"/>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G148" s="1"/>
      <c r="H148" s="1"/>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G149" s="1"/>
      <c r="H149" s="1"/>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G150" s="1"/>
      <c r="H150" s="1"/>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G151" s="1"/>
      <c r="H151" s="1"/>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G152" s="1"/>
      <c r="H152" s="1"/>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G153" s="1"/>
      <c r="H153" s="1"/>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G154" s="1"/>
      <c r="H154" s="1"/>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G155" s="1"/>
      <c r="H155" s="1"/>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G156" s="1"/>
      <c r="H156" s="1"/>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G157" s="1"/>
      <c r="H157" s="1"/>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G158" s="1"/>
      <c r="H158" s="1"/>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G159" s="1"/>
      <c r="H159" s="1"/>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G160" s="1"/>
      <c r="H160" s="1"/>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G161" s="1"/>
      <c r="H161" s="1"/>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G162" s="1"/>
      <c r="H162" s="1"/>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G163" s="1"/>
      <c r="H163" s="1"/>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G164" s="1"/>
      <c r="H164" s="1"/>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G165" s="1"/>
      <c r="H165" s="1"/>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G166" s="1"/>
      <c r="H166" s="1"/>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G167" s="1"/>
      <c r="H167" s="1"/>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G168" s="1"/>
      <c r="H168" s="1"/>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G169" s="1"/>
      <c r="H169" s="1"/>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G170" s="1"/>
      <c r="H170" s="1"/>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G171" s="1"/>
      <c r="H171" s="1"/>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G172" s="1"/>
      <c r="H172" s="1"/>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G173" s="1"/>
      <c r="H173" s="1"/>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G174" s="1"/>
      <c r="H174" s="1"/>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G175" s="1"/>
      <c r="H175" s="1"/>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G176" s="1"/>
      <c r="H176" s="1"/>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G177" s="1"/>
      <c r="H177" s="1"/>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G178" s="1"/>
      <c r="H178" s="1"/>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G179" s="1"/>
      <c r="H179" s="1"/>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G180" s="1"/>
      <c r="H180" s="1"/>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G181" s="1"/>
      <c r="H181" s="1"/>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G182" s="1"/>
      <c r="H182" s="1"/>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G183" s="1"/>
      <c r="H183" s="1"/>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G184" s="1"/>
      <c r="H184" s="1"/>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G185" s="1"/>
      <c r="H185" s="1"/>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G186" s="1"/>
      <c r="H186" s="1"/>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G187" s="1"/>
      <c r="H187" s="1"/>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G188" s="1"/>
      <c r="H188" s="1"/>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G189" s="1"/>
      <c r="H189" s="1"/>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G190" s="1"/>
      <c r="H190" s="1"/>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G191" s="1"/>
      <c r="H191" s="1"/>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G192" s="1"/>
      <c r="H192" s="1"/>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G193" s="1"/>
      <c r="H193" s="1"/>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G194" s="1"/>
      <c r="H194" s="1"/>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G195" s="1"/>
      <c r="H195" s="1"/>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G196" s="1"/>
      <c r="H196" s="1"/>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G197" s="1"/>
      <c r="H197" s="1"/>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G198" s="1"/>
      <c r="H198" s="1"/>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G199" s="1"/>
      <c r="H199" s="1"/>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G200" s="1"/>
      <c r="H200" s="1"/>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G201" s="1"/>
      <c r="H201" s="1"/>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G202" s="1"/>
      <c r="H202" s="1"/>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G203" s="1"/>
      <c r="H203" s="1"/>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G204" s="1"/>
      <c r="H204" s="1"/>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G205" s="1"/>
      <c r="H205" s="1"/>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G206" s="1"/>
      <c r="H206" s="1"/>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G207" s="1"/>
      <c r="H207" s="1"/>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G208" s="1"/>
      <c r="H208" s="1"/>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G209" s="1"/>
      <c r="H209" s="1"/>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G210" s="1"/>
      <c r="H210" s="1"/>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G211" s="1"/>
      <c r="H211" s="1"/>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G212" s="1"/>
      <c r="H212" s="1"/>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G213" s="1"/>
      <c r="H213" s="1"/>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G214" s="1"/>
      <c r="H214" s="1"/>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G215" s="1"/>
      <c r="H215" s="1"/>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G216" s="1"/>
      <c r="H216" s="1"/>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G217" s="1"/>
      <c r="H217" s="1"/>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G218" s="1"/>
      <c r="H218" s="1"/>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G219" s="1"/>
      <c r="H219" s="1"/>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G220" s="1"/>
      <c r="H220" s="1"/>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G221" s="1"/>
      <c r="H221" s="1"/>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G222" s="1"/>
      <c r="H222" s="1"/>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G223" s="1"/>
      <c r="H223" s="1"/>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G224" s="1"/>
      <c r="H224" s="1"/>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G225" s="1"/>
      <c r="H225" s="1"/>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G226" s="1"/>
      <c r="H226" s="1"/>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G227" s="1"/>
      <c r="H227" s="1"/>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G228" s="1"/>
      <c r="H228" s="1"/>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G229" s="1"/>
      <c r="H229" s="1"/>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G230" s="1"/>
      <c r="H230" s="1"/>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G231" s="1"/>
      <c r="H231" s="1"/>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G232" s="1"/>
      <c r="H232" s="1"/>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G233" s="1"/>
      <c r="H233" s="1"/>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G234" s="1"/>
      <c r="H234" s="1"/>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G235" s="1"/>
      <c r="H235" s="1"/>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G236" s="1"/>
      <c r="H236" s="1"/>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G237" s="1"/>
      <c r="H237" s="1"/>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G238" s="1"/>
      <c r="H238" s="1"/>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G239" s="1"/>
      <c r="H239" s="1"/>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G240" s="1"/>
      <c r="H240" s="1"/>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G241" s="1"/>
      <c r="H241" s="1"/>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G242" s="1"/>
      <c r="H242" s="1"/>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G243" s="1"/>
      <c r="H243" s="1"/>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G244" s="1"/>
      <c r="H244" s="1"/>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G245" s="1"/>
      <c r="H245" s="1"/>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G246" s="1"/>
      <c r="H246" s="1"/>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G247" s="1"/>
      <c r="H247" s="1"/>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G248" s="1"/>
      <c r="H248" s="1"/>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G249" s="1"/>
      <c r="H249" s="1"/>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G250" s="1"/>
      <c r="H250" s="1"/>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G251" s="1"/>
      <c r="H251" s="1"/>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G252" s="1"/>
      <c r="H252" s="1"/>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G253" s="1"/>
      <c r="H253" s="1"/>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G254" s="1"/>
      <c r="H254" s="1"/>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G255" s="1"/>
      <c r="H255" s="1"/>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G256" s="1"/>
      <c r="H256" s="1"/>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G257" s="1"/>
      <c r="H257" s="1"/>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G258" s="1"/>
      <c r="H258" s="1"/>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G259" s="1"/>
      <c r="H259" s="1"/>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G260" s="1"/>
      <c r="H260" s="1"/>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G261" s="1"/>
      <c r="H261" s="1"/>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G262" s="1"/>
      <c r="H262" s="1"/>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G263" s="1"/>
      <c r="H263" s="1"/>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G264" s="1"/>
      <c r="H264" s="1"/>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G265" s="1"/>
      <c r="H265" s="1"/>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G266" s="1"/>
      <c r="H266" s="1"/>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G267" s="1"/>
      <c r="H267" s="1"/>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G268" s="1"/>
      <c r="H268" s="1"/>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G269" s="1"/>
      <c r="H269" s="1"/>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G270" s="1"/>
      <c r="H270" s="1"/>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G271" s="1"/>
      <c r="H271" s="1"/>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G272" s="1"/>
      <c r="H272" s="1"/>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G273" s="1"/>
      <c r="H273" s="1"/>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G274" s="1"/>
      <c r="H274" s="1"/>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G275" s="1"/>
      <c r="H275" s="1"/>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G276" s="1"/>
      <c r="H276" s="1"/>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G277" s="1"/>
      <c r="H277" s="1"/>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G278" s="1"/>
      <c r="H278" s="1"/>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G279" s="1"/>
      <c r="H279" s="1"/>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G280" s="1"/>
      <c r="H280" s="1"/>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G281" s="1"/>
      <c r="H281" s="1"/>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G282" s="1"/>
      <c r="H282" s="1"/>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G283" s="1"/>
      <c r="H283" s="1"/>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G284" s="1"/>
      <c r="H284" s="1"/>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G285" s="1"/>
      <c r="H285" s="1"/>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G286" s="1"/>
      <c r="H286" s="1"/>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G287" s="1"/>
      <c r="H287" s="1"/>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G288" s="1"/>
      <c r="H288" s="1"/>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G289" s="1"/>
      <c r="H289" s="1"/>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G290" s="1"/>
      <c r="H290" s="1"/>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G291" s="1"/>
      <c r="H291" s="1"/>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G292" s="1"/>
      <c r="H292" s="1"/>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G293" s="1"/>
      <c r="H293" s="1"/>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G294" s="1"/>
      <c r="H294" s="1"/>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G295" s="1"/>
      <c r="H295" s="1"/>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G296" s="1"/>
      <c r="H296" s="1"/>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G297" s="1"/>
      <c r="H297" s="1"/>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G298" s="1"/>
      <c r="H298" s="1"/>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G299" s="1"/>
      <c r="H299" s="1"/>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G300" s="1"/>
      <c r="H300" s="1"/>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G301" s="1"/>
      <c r="H301" s="1"/>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G302" s="1"/>
      <c r="H302" s="1"/>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G303" s="1"/>
      <c r="H303" s="1"/>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G304" s="1"/>
      <c r="H304" s="1"/>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G305" s="1"/>
      <c r="H305" s="1"/>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G306" s="1"/>
      <c r="H306" s="1"/>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G307" s="1"/>
      <c r="H307" s="1"/>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G308" s="1"/>
      <c r="H308" s="1"/>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G309" s="1"/>
      <c r="H309" s="1"/>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G310" s="1"/>
      <c r="H310" s="1"/>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G311" s="1"/>
      <c r="H311" s="1"/>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G312" s="1"/>
      <c r="H312" s="1"/>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G313" s="1"/>
      <c r="H313" s="1"/>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G314" s="1"/>
      <c r="H314" s="1"/>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G315" s="1"/>
      <c r="H315" s="1"/>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G316" s="1"/>
      <c r="H316" s="1"/>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G317" s="1"/>
      <c r="H317" s="1"/>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G318" s="1"/>
      <c r="H318" s="1"/>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G319" s="1"/>
      <c r="H319" s="1"/>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G320" s="1"/>
      <c r="H320" s="1"/>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G321" s="1"/>
      <c r="H321" s="1"/>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G322" s="1"/>
      <c r="H322" s="1"/>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G323" s="1"/>
      <c r="H323" s="1"/>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G324" s="1"/>
      <c r="H324" s="1"/>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G325" s="1"/>
      <c r="H325" s="1"/>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G326" s="1"/>
      <c r="H326" s="1"/>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G327" s="1"/>
      <c r="H327" s="1"/>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G328" s="1"/>
      <c r="H328" s="1"/>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G329" s="1"/>
      <c r="H329" s="1"/>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G330" s="1"/>
      <c r="H330" s="1"/>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G331" s="1"/>
      <c r="H331" s="1"/>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G332" s="1"/>
      <c r="H332" s="1"/>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G333" s="1"/>
      <c r="H333" s="1"/>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G334" s="1"/>
      <c r="H334" s="1"/>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G335" s="1"/>
      <c r="H335" s="1"/>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G336" s="1"/>
      <c r="H336" s="1"/>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G337" s="1"/>
      <c r="H337" s="1"/>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G338" s="1"/>
      <c r="H338" s="1"/>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G339" s="1"/>
      <c r="H339" s="1"/>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G340" s="1"/>
      <c r="H340" s="1"/>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G341" s="1"/>
      <c r="H341" s="1"/>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G342" s="1"/>
      <c r="H342" s="1"/>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G343" s="1"/>
      <c r="H343" s="1"/>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G344" s="1"/>
      <c r="H344" s="1"/>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G345" s="1"/>
      <c r="H345" s="1"/>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G346" s="1"/>
      <c r="H346" s="1"/>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G347" s="1"/>
      <c r="H347" s="1"/>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G348" s="1"/>
      <c r="H348" s="1"/>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G349" s="1"/>
      <c r="H349" s="1"/>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G350" s="1"/>
      <c r="H350" s="1"/>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G351" s="1"/>
      <c r="H351" s="1"/>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G352" s="1"/>
      <c r="H352" s="1"/>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G353" s="1"/>
      <c r="H353" s="1"/>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G354" s="1"/>
      <c r="H354" s="1"/>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G355" s="1"/>
      <c r="H355" s="1"/>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G356" s="1"/>
      <c r="H356" s="1"/>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G357" s="1"/>
      <c r="H357" s="1"/>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G358" s="1"/>
      <c r="H358" s="1"/>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G359" s="1"/>
      <c r="H359" s="1"/>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G360" s="1"/>
      <c r="H360" s="1"/>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G361" s="1"/>
      <c r="H361" s="1"/>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G362" s="1"/>
      <c r="H362" s="1"/>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G363" s="1"/>
      <c r="H363" s="1"/>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G364" s="1"/>
      <c r="H364" s="1"/>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G365" s="1"/>
      <c r="H365" s="1"/>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G366" s="1"/>
      <c r="H366" s="1"/>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G367" s="1"/>
      <c r="H367" s="1"/>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G368" s="1"/>
      <c r="H368" s="1"/>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G369" s="1"/>
      <c r="H369" s="1"/>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G370" s="1"/>
      <c r="H370" s="1"/>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G371" s="1"/>
      <c r="H371" s="1"/>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G372" s="1"/>
      <c r="H372" s="1"/>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G373" s="1"/>
      <c r="H373" s="1"/>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G374" s="1"/>
      <c r="H374" s="1"/>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G375" s="1"/>
      <c r="H375" s="1"/>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G376" s="1"/>
      <c r="H376" s="1"/>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G377" s="1"/>
      <c r="H377" s="1"/>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G378" s="1"/>
      <c r="H378" s="1"/>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G379" s="1"/>
      <c r="H379" s="1"/>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G380" s="1"/>
      <c r="H380" s="1"/>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G381" s="1"/>
      <c r="H381" s="1"/>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G382" s="1"/>
      <c r="H382" s="1"/>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G383" s="1"/>
      <c r="H383" s="1"/>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G384" s="1"/>
      <c r="H384" s="1"/>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G385" s="1"/>
      <c r="H385" s="1"/>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G386" s="1"/>
      <c r="H386" s="1"/>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G387" s="1"/>
      <c r="H387" s="1"/>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G388" s="1"/>
      <c r="H388" s="1"/>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G389" s="1"/>
      <c r="H389" s="1"/>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G390" s="1"/>
      <c r="H390" s="1"/>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G391" s="1"/>
      <c r="H391" s="1"/>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G392" s="1"/>
      <c r="H392" s="1"/>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G393" s="1"/>
      <c r="H393" s="1"/>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G394" s="1"/>
      <c r="H394" s="1"/>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G395" s="1"/>
      <c r="H395" s="1"/>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G396" s="1"/>
      <c r="H396" s="1"/>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G397" s="1"/>
      <c r="H397" s="1"/>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G398" s="1"/>
      <c r="H398" s="1"/>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G399" s="1"/>
      <c r="H399" s="1"/>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G400" s="1"/>
      <c r="H400" s="1"/>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G401" s="1"/>
      <c r="H401" s="1"/>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G402" s="1"/>
      <c r="H402" s="1"/>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G403" s="1"/>
      <c r="H403" s="1"/>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G404" s="1"/>
      <c r="H404" s="1"/>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G405" s="1"/>
      <c r="H405" s="1"/>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G406" s="1"/>
      <c r="H406" s="1"/>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G407" s="1"/>
      <c r="H407" s="1"/>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G408" s="1"/>
      <c r="H408" s="1"/>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G409" s="1"/>
      <c r="H409" s="1"/>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G410" s="1"/>
      <c r="H410" s="1"/>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G411" s="1"/>
      <c r="H411" s="1"/>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G412" s="1"/>
      <c r="H412" s="1"/>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G413" s="1"/>
      <c r="H413" s="1"/>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G414" s="1"/>
      <c r="H414" s="1"/>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G415" s="1"/>
      <c r="H415" s="1"/>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G416" s="1"/>
      <c r="H416" s="1"/>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G417" s="1"/>
      <c r="H417" s="1"/>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G418" s="1"/>
      <c r="H418" s="1"/>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G419" s="1"/>
      <c r="H419" s="1"/>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G420" s="1"/>
      <c r="H420" s="1"/>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G421" s="1"/>
      <c r="H421" s="1"/>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G422" s="1"/>
      <c r="H422" s="1"/>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G423" s="1"/>
      <c r="H423" s="1"/>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G424" s="1"/>
      <c r="H424" s="1"/>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G425" s="1"/>
      <c r="H425" s="1"/>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G426" s="1"/>
      <c r="H426" s="1"/>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G427" s="1"/>
      <c r="H427" s="1"/>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G428" s="1"/>
      <c r="H428" s="1"/>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G429" s="1"/>
      <c r="H429" s="1"/>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G430" s="1"/>
      <c r="H430" s="1"/>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G431" s="1"/>
      <c r="H431" s="1"/>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G432" s="1"/>
      <c r="H432" s="1"/>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G433" s="1"/>
      <c r="H433" s="1"/>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G434" s="1"/>
      <c r="H434" s="1"/>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G435" s="1"/>
      <c r="H435" s="1"/>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G436" s="1"/>
      <c r="H436" s="1"/>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G437" s="1"/>
      <c r="H437" s="1"/>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G438" s="1"/>
      <c r="H438" s="1"/>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G439" s="1"/>
      <c r="H439" s="1"/>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G440" s="1"/>
      <c r="H440" s="1"/>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G441" s="1"/>
      <c r="H441" s="1"/>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G442" s="1"/>
      <c r="H442" s="1"/>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G443" s="1"/>
      <c r="H443" s="1"/>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G444" s="1"/>
      <c r="H444" s="1"/>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G445" s="1"/>
      <c r="H445" s="1"/>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G446" s="1"/>
      <c r="H446" s="1"/>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G447" s="1"/>
      <c r="H447" s="1"/>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G448" s="1"/>
      <c r="H448" s="1"/>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G449" s="1"/>
      <c r="H449" s="1"/>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G450" s="1"/>
      <c r="H450" s="1"/>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G451" s="1"/>
      <c r="H451" s="1"/>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G452" s="1"/>
      <c r="H452" s="1"/>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G453" s="1"/>
      <c r="H453" s="1"/>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G454" s="1"/>
      <c r="H454" s="1"/>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G455" s="1"/>
      <c r="H455" s="1"/>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G456" s="1"/>
      <c r="H456" s="1"/>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G457" s="1"/>
      <c r="H457" s="1"/>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G458" s="1"/>
      <c r="H458" s="1"/>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G459" s="1"/>
      <c r="H459" s="1"/>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G460" s="1"/>
      <c r="H460" s="1"/>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G461" s="1"/>
      <c r="H461" s="1"/>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G462" s="1"/>
      <c r="H462" s="1"/>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G463" s="1"/>
      <c r="H463" s="1"/>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G464" s="1"/>
      <c r="H464" s="1"/>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G465" s="1"/>
      <c r="H465" s="1"/>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G466" s="1"/>
      <c r="H466" s="1"/>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G467" s="1"/>
      <c r="H467" s="1"/>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G468" s="1"/>
      <c r="H468" s="1"/>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G469" s="1"/>
      <c r="H469" s="1"/>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G470" s="1"/>
      <c r="H470" s="1"/>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G471" s="1"/>
      <c r="H471" s="1"/>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G472" s="1"/>
      <c r="H472" s="1"/>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G473" s="1"/>
      <c r="H473" s="1"/>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G474" s="1"/>
      <c r="H474" s="1"/>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G475" s="1"/>
      <c r="H475" s="1"/>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G476" s="1"/>
      <c r="H476" s="1"/>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G477" s="1"/>
      <c r="H477" s="1"/>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G478" s="1"/>
      <c r="H478" s="1"/>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G479" s="1"/>
      <c r="H479" s="1"/>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G480" s="1"/>
      <c r="H480" s="1"/>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G481" s="1"/>
      <c r="H481" s="1"/>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G482" s="1"/>
      <c r="H482" s="1"/>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G483" s="1"/>
      <c r="H483" s="1"/>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G484" s="1"/>
      <c r="H484" s="1"/>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G485" s="1"/>
      <c r="H485" s="1"/>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G486" s="1"/>
      <c r="H486" s="1"/>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G487" s="1"/>
      <c r="H487" s="1"/>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G488" s="1"/>
      <c r="H488" s="1"/>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G489" s="1"/>
      <c r="H489" s="1"/>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G490" s="1"/>
      <c r="H490" s="1"/>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G491" s="1"/>
      <c r="H491" s="1"/>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G492" s="1"/>
      <c r="H492" s="1"/>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G493" s="1"/>
      <c r="H493" s="1"/>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G494" s="1"/>
      <c r="H494" s="1"/>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G495" s="1"/>
      <c r="H495" s="1"/>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G496" s="1"/>
      <c r="H496" s="1"/>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G497" s="1"/>
      <c r="H497" s="1"/>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G498" s="1"/>
      <c r="H498" s="1"/>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G499" s="1"/>
      <c r="H499" s="1"/>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G500" s="1"/>
      <c r="H500" s="1"/>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G501" s="1"/>
      <c r="H501" s="1"/>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G502" s="1"/>
      <c r="H502" s="1"/>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G503" s="1"/>
      <c r="H503" s="1"/>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G504" s="1"/>
      <c r="H504" s="1"/>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G505" s="1"/>
      <c r="H505" s="1"/>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G506" s="1"/>
      <c r="H506" s="1"/>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G507" s="1"/>
      <c r="H507" s="1"/>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G508" s="1"/>
      <c r="H508" s="1"/>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G509" s="1"/>
      <c r="H509" s="1"/>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G510" s="1"/>
      <c r="H510" s="1"/>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G511" s="1"/>
      <c r="H511" s="1"/>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G512" s="1"/>
      <c r="H512" s="1"/>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G513" s="1"/>
      <c r="H513" s="1"/>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G514" s="1"/>
      <c r="H514" s="1"/>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G515" s="1"/>
      <c r="H515" s="1"/>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G516" s="1"/>
      <c r="H516" s="1"/>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G517" s="1"/>
      <c r="H517" s="1"/>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G518" s="1"/>
      <c r="H518" s="1"/>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G519" s="1"/>
      <c r="H519" s="1"/>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G520" s="1"/>
      <c r="H520" s="1"/>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G521" s="1"/>
      <c r="H521" s="1"/>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G522" s="1"/>
      <c r="H522" s="1"/>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G523" s="1"/>
      <c r="H523" s="1"/>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G524" s="1"/>
      <c r="H524" s="1"/>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G525" s="1"/>
      <c r="H525" s="1"/>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G526" s="1"/>
      <c r="H526" s="1"/>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G527" s="1"/>
      <c r="H527" s="1"/>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G528" s="1"/>
      <c r="H528" s="1"/>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G529" s="1"/>
      <c r="H529" s="1"/>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G530" s="1"/>
      <c r="H530" s="1"/>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G531" s="1"/>
      <c r="H531" s="1"/>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G532" s="1"/>
      <c r="H532" s="1"/>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G533" s="1"/>
      <c r="H533" s="1"/>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G534" s="1"/>
      <c r="H534" s="1"/>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G535" s="1"/>
      <c r="H535" s="1"/>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G536" s="1"/>
      <c r="H536" s="1"/>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G537" s="1"/>
      <c r="H537" s="1"/>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G538" s="1"/>
      <c r="H538" s="1"/>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G539" s="1"/>
      <c r="H539" s="1"/>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G540" s="1"/>
      <c r="H540" s="1"/>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G541" s="1"/>
      <c r="H541" s="1"/>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G542" s="1"/>
      <c r="H542" s="1"/>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G543" s="1"/>
      <c r="H543" s="1"/>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G544" s="1"/>
      <c r="H544" s="1"/>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G545" s="1"/>
      <c r="H545" s="1"/>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G546" s="1"/>
      <c r="H546" s="1"/>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G547" s="1"/>
      <c r="H547" s="1"/>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G548" s="1"/>
      <c r="H548" s="1"/>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G549" s="1"/>
      <c r="H549" s="1"/>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G550" s="1"/>
      <c r="H550" s="1"/>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G551" s="1"/>
      <c r="H551" s="1"/>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G552" s="1"/>
      <c r="H552" s="1"/>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G553" s="1"/>
      <c r="H553" s="1"/>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G554" s="1"/>
      <c r="H554" s="1"/>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G555" s="1"/>
      <c r="H555" s="1"/>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G556" s="1"/>
      <c r="H556" s="1"/>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G557" s="1"/>
      <c r="H557" s="1"/>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G558" s="1"/>
      <c r="H558" s="1"/>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G559" s="1"/>
      <c r="H559" s="1"/>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G560" s="1"/>
      <c r="H560" s="1"/>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G561" s="1"/>
      <c r="H561" s="1"/>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G562" s="1"/>
      <c r="H562" s="1"/>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G563" s="1"/>
      <c r="H563" s="1"/>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G564" s="1"/>
      <c r="H564" s="1"/>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G565" s="1"/>
      <c r="H565" s="1"/>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G566" s="1"/>
      <c r="H566" s="1"/>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G567" s="1"/>
      <c r="H567" s="1"/>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G568" s="1"/>
      <c r="H568" s="1"/>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G569" s="1"/>
      <c r="H569" s="1"/>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G570" s="1"/>
      <c r="H570" s="1"/>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G571" s="1"/>
      <c r="H571" s="1"/>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G572" s="1"/>
      <c r="H572" s="1"/>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G573" s="1"/>
      <c r="H573" s="1"/>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G574" s="1"/>
      <c r="H574" s="1"/>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G575" s="1"/>
      <c r="H575" s="1"/>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G576" s="1"/>
      <c r="H576" s="1"/>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G577" s="1"/>
      <c r="H577" s="1"/>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G578" s="1"/>
      <c r="H578" s="1"/>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G579" s="1"/>
      <c r="H579" s="1"/>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G580" s="1"/>
      <c r="H580" s="1"/>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G581" s="1"/>
      <c r="H581" s="1"/>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G582" s="1"/>
      <c r="H582" s="1"/>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G583" s="1"/>
      <c r="H583" s="1"/>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G584" s="1"/>
      <c r="H584" s="1"/>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G585" s="1"/>
      <c r="H585" s="1"/>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G586" s="1"/>
      <c r="H586" s="1"/>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G587" s="1"/>
      <c r="H587" s="1"/>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G588" s="1"/>
      <c r="H588" s="1"/>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G589" s="1"/>
      <c r="H589" s="1"/>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G590" s="1"/>
      <c r="H590" s="1"/>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G591" s="1"/>
      <c r="H591" s="1"/>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G592" s="1"/>
      <c r="H592" s="1"/>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G593" s="1"/>
      <c r="H593" s="1"/>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G594" s="1"/>
      <c r="H594" s="1"/>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G595" s="1"/>
      <c r="H595" s="1"/>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G596" s="1"/>
      <c r="H596" s="1"/>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G597" s="1"/>
      <c r="H597" s="1"/>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G598" s="1"/>
      <c r="H598" s="1"/>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G599" s="1"/>
      <c r="H599" s="1"/>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G600" s="1"/>
      <c r="H600" s="1"/>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G601" s="1"/>
      <c r="H601" s="1"/>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G602" s="1"/>
      <c r="H602" s="1"/>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G603" s="1"/>
      <c r="H603" s="1"/>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G604" s="1"/>
      <c r="H604" s="1"/>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G605" s="1"/>
      <c r="H605" s="1"/>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G606" s="1"/>
      <c r="H606" s="1"/>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G607" s="1"/>
      <c r="H607" s="1"/>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G608" s="1"/>
      <c r="H608" s="1"/>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G609" s="1"/>
      <c r="H609" s="1"/>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G610" s="1"/>
      <c r="H610" s="1"/>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G611" s="1"/>
      <c r="H611" s="1"/>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G612" s="1"/>
      <c r="H612" s="1"/>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G613" s="1"/>
      <c r="H613" s="1"/>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G614" s="1"/>
      <c r="H614" s="1"/>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G615" s="1"/>
      <c r="H615" s="1"/>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G616" s="1"/>
      <c r="H616" s="1"/>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G617" s="1"/>
      <c r="H617" s="1"/>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G618" s="1"/>
      <c r="H618" s="1"/>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G619" s="1"/>
      <c r="H619" s="1"/>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G620" s="1"/>
      <c r="H620" s="1"/>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G621" s="1"/>
      <c r="H621" s="1"/>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G622" s="1"/>
      <c r="H622" s="1"/>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G623" s="1"/>
      <c r="H623" s="1"/>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G624" s="1"/>
      <c r="H624" s="1"/>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G625" s="1"/>
      <c r="H625" s="1"/>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G626" s="1"/>
      <c r="H626" s="1"/>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G627" s="1"/>
      <c r="H627" s="1"/>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G628" s="1"/>
      <c r="H628" s="1"/>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G629" s="1"/>
      <c r="H629" s="1"/>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G630" s="1"/>
      <c r="H630" s="1"/>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G631" s="1"/>
      <c r="H631" s="1"/>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G632" s="1"/>
      <c r="H632" s="1"/>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G633" s="1"/>
      <c r="H633" s="1"/>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G634" s="1"/>
      <c r="H634" s="1"/>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G635" s="1"/>
      <c r="H635" s="1"/>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G636" s="1"/>
      <c r="H636" s="1"/>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G637" s="1"/>
      <c r="H637" s="1"/>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G638" s="1"/>
      <c r="H638" s="1"/>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G639" s="1"/>
      <c r="H639" s="1"/>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G640" s="1"/>
      <c r="H640" s="1"/>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G641" s="1"/>
      <c r="H641" s="1"/>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G642" s="1"/>
      <c r="H642" s="1"/>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G643" s="1"/>
      <c r="H643" s="1"/>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G644" s="1"/>
      <c r="H644" s="1"/>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G645" s="1"/>
      <c r="H645" s="1"/>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G646" s="1"/>
      <c r="H646" s="1"/>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G647" s="1"/>
      <c r="H647" s="1"/>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G648" s="1"/>
      <c r="H648" s="1"/>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G649" s="1"/>
      <c r="H649" s="1"/>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G650" s="1"/>
      <c r="H650" s="1"/>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G651" s="1"/>
      <c r="H651" s="1"/>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G652" s="1"/>
      <c r="H652" s="1"/>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G653" s="1"/>
      <c r="H653" s="1"/>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G654" s="1"/>
      <c r="H654" s="1"/>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G655" s="1"/>
      <c r="H655" s="1"/>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G656" s="1"/>
      <c r="H656" s="1"/>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G657" s="1"/>
      <c r="H657" s="1"/>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G658" s="1"/>
      <c r="H658" s="1"/>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G659" s="1"/>
      <c r="H659" s="1"/>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G660" s="1"/>
      <c r="H660" s="1"/>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G661" s="1"/>
      <c r="H661" s="1"/>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G662" s="1"/>
      <c r="H662" s="1"/>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G663" s="1"/>
      <c r="H663" s="1"/>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G664" s="1"/>
      <c r="H664" s="1"/>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G665" s="1"/>
      <c r="H665" s="1"/>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G666" s="1"/>
      <c r="H666" s="1"/>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G667" s="1"/>
      <c r="H667" s="1"/>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G668" s="1"/>
      <c r="H668" s="1"/>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G669" s="1"/>
      <c r="H669" s="1"/>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G670" s="1"/>
      <c r="H670" s="1"/>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G671" s="1"/>
      <c r="H671" s="1"/>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G672" s="1"/>
      <c r="H672" s="1"/>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G673" s="1"/>
      <c r="H673" s="1"/>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G674" s="1"/>
      <c r="H674" s="1"/>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G675" s="1"/>
      <c r="H675" s="1"/>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G676" s="1"/>
      <c r="H676" s="1"/>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G677" s="1"/>
      <c r="H677" s="1"/>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G678" s="1"/>
      <c r="H678" s="1"/>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G679" s="1"/>
      <c r="H679" s="1"/>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G680" s="1"/>
      <c r="H680" s="1"/>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G681" s="1"/>
      <c r="H681" s="1"/>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G682" s="1"/>
      <c r="H682" s="1"/>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G683" s="1"/>
      <c r="H683" s="1"/>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G684" s="1"/>
      <c r="H684" s="1"/>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G685" s="1"/>
      <c r="H685" s="1"/>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G686" s="1"/>
      <c r="H686" s="1"/>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G687" s="1"/>
      <c r="H687" s="1"/>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G688" s="1"/>
      <c r="H688" s="1"/>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G689" s="1"/>
      <c r="H689" s="1"/>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G690" s="1"/>
      <c r="H690" s="1"/>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G691" s="1"/>
      <c r="H691" s="1"/>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G692" s="1"/>
      <c r="H692" s="1"/>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G693" s="1"/>
      <c r="H693" s="1"/>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G694" s="1"/>
      <c r="H694" s="1"/>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G695" s="1"/>
      <c r="H695" s="1"/>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G696" s="1"/>
      <c r="H696" s="1"/>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G697" s="1"/>
      <c r="H697" s="1"/>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G698" s="1"/>
      <c r="H698" s="1"/>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G699" s="1"/>
      <c r="H699" s="1"/>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G700" s="1"/>
      <c r="H700" s="1"/>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G701" s="1"/>
      <c r="H701" s="1"/>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G702" s="1"/>
      <c r="H702" s="1"/>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G703" s="1"/>
      <c r="H703" s="1"/>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G704" s="1"/>
      <c r="H704" s="1"/>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G705" s="1"/>
      <c r="H705" s="1"/>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G706" s="1"/>
      <c r="H706" s="1"/>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G707" s="1"/>
      <c r="H707" s="1"/>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G708" s="1"/>
      <c r="H708" s="1"/>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G709" s="1"/>
      <c r="H709" s="1"/>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G710" s="1"/>
      <c r="H710" s="1"/>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G711" s="1"/>
      <c r="H711" s="1"/>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G712" s="1"/>
      <c r="H712" s="1"/>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G713" s="1"/>
      <c r="H713" s="1"/>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G714" s="1"/>
      <c r="H714" s="1"/>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G715" s="1"/>
      <c r="H715" s="1"/>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G716" s="1"/>
      <c r="H716" s="1"/>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G717" s="1"/>
      <c r="H717" s="1"/>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G718" s="1"/>
      <c r="H718" s="1"/>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G719" s="1"/>
      <c r="H719" s="1"/>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G720" s="1"/>
      <c r="H720" s="1"/>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G721" s="1"/>
      <c r="H721" s="1"/>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G722" s="1"/>
      <c r="H722" s="1"/>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G723" s="1"/>
      <c r="H723" s="1"/>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G724" s="1"/>
      <c r="H724" s="1"/>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G725" s="1"/>
      <c r="H725" s="1"/>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G726" s="1"/>
      <c r="H726" s="1"/>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G727" s="1"/>
      <c r="H727" s="1"/>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G728" s="1"/>
      <c r="H728" s="1"/>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G729" s="1"/>
      <c r="H729" s="1"/>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G730" s="1"/>
      <c r="H730" s="1"/>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G731" s="1"/>
      <c r="H731" s="1"/>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G732" s="1"/>
      <c r="H732" s="1"/>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G733" s="1"/>
      <c r="H733" s="1"/>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G734" s="1"/>
      <c r="H734" s="1"/>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G735" s="1"/>
      <c r="H735" s="1"/>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G736" s="1"/>
      <c r="H736" s="1"/>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G737" s="1"/>
      <c r="H737" s="1"/>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G738" s="1"/>
      <c r="H738" s="1"/>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G739" s="1"/>
      <c r="H739" s="1"/>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G740" s="1"/>
      <c r="H740" s="1"/>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G741" s="1"/>
      <c r="H741" s="1"/>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G742" s="1"/>
      <c r="H742" s="1"/>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G743" s="1"/>
      <c r="H743" s="1"/>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G744" s="1"/>
      <c r="H744" s="1"/>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G745" s="1"/>
      <c r="H745" s="1"/>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G746" s="1"/>
      <c r="H746" s="1"/>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G747" s="1"/>
      <c r="H747" s="1"/>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G748" s="1"/>
      <c r="H748" s="1"/>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G749" s="1"/>
      <c r="H749" s="1"/>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G750" s="1"/>
      <c r="H750" s="1"/>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G751" s="1"/>
      <c r="H751" s="1"/>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G752" s="1"/>
      <c r="H752" s="1"/>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G753" s="1"/>
      <c r="H753" s="1"/>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G754" s="1"/>
      <c r="H754" s="1"/>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G755" s="1"/>
      <c r="H755" s="1"/>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G756" s="1"/>
      <c r="H756" s="1"/>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G757" s="1"/>
      <c r="H757" s="1"/>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G758" s="1"/>
      <c r="H758" s="1"/>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G759" s="1"/>
      <c r="H759" s="1"/>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G760" s="1"/>
      <c r="H760" s="1"/>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G761" s="1"/>
      <c r="H761" s="1"/>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G762" s="1"/>
      <c r="H762" s="1"/>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G763" s="1"/>
      <c r="H763" s="1"/>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G764" s="1"/>
      <c r="H764" s="1"/>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G765" s="1"/>
      <c r="H765" s="1"/>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G766" s="1"/>
      <c r="H766" s="1"/>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G767" s="1"/>
      <c r="H767" s="1"/>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G768" s="1"/>
      <c r="H768" s="1"/>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G769" s="1"/>
      <c r="H769" s="1"/>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G770" s="1"/>
      <c r="H770" s="1"/>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G771" s="1"/>
      <c r="H771" s="1"/>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G772" s="1"/>
      <c r="H772" s="1"/>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G773" s="1"/>
      <c r="H773" s="1"/>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G774" s="1"/>
      <c r="H774" s="1"/>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G775" s="1"/>
      <c r="H775" s="1"/>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G776" s="1"/>
      <c r="H776" s="1"/>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G777" s="1"/>
      <c r="H777" s="1"/>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G778" s="1"/>
      <c r="H778" s="1"/>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G779" s="1"/>
      <c r="H779" s="1"/>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G780" s="1"/>
      <c r="H780" s="1"/>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G781" s="1"/>
      <c r="H781" s="1"/>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G782" s="1"/>
      <c r="H782" s="1"/>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G783" s="1"/>
      <c r="H783" s="1"/>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G784" s="1"/>
      <c r="H784" s="1"/>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G785" s="1"/>
      <c r="H785" s="1"/>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G786" s="1"/>
      <c r="H786" s="1"/>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G787" s="1"/>
      <c r="H787" s="1"/>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G788" s="1"/>
      <c r="H788" s="1"/>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G789" s="1"/>
      <c r="H789" s="1"/>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G790" s="1"/>
      <c r="H790" s="1"/>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G791" s="1"/>
      <c r="H791" s="1"/>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G792" s="1"/>
      <c r="H792" s="1"/>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G793" s="1"/>
      <c r="H793" s="1"/>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G794" s="1"/>
      <c r="H794" s="1"/>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G795" s="1"/>
      <c r="H795" s="1"/>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G796" s="1"/>
      <c r="H796" s="1"/>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G797" s="1"/>
      <c r="H797" s="1"/>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G798" s="1"/>
      <c r="H798" s="1"/>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G799" s="1"/>
      <c r="H799" s="1"/>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G800" s="1"/>
      <c r="H800" s="1"/>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G801" s="1"/>
      <c r="H801" s="1"/>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G802" s="1"/>
      <c r="H802" s="1"/>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G803" s="1"/>
      <c r="H803" s="1"/>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G804" s="1"/>
      <c r="H804" s="1"/>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G805" s="1"/>
      <c r="H805" s="1"/>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G806" s="1"/>
      <c r="H806" s="1"/>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G807" s="1"/>
      <c r="H807" s="1"/>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G808" s="1"/>
      <c r="H808" s="1"/>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G809" s="1"/>
      <c r="H809" s="1"/>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G810" s="1"/>
      <c r="H810" s="1"/>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G811" s="1"/>
      <c r="H811" s="1"/>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G812" s="1"/>
      <c r="H812" s="1"/>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G813" s="1"/>
      <c r="H813" s="1"/>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G814" s="1"/>
      <c r="H814" s="1"/>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G815" s="1"/>
      <c r="H815" s="1"/>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G816" s="1"/>
      <c r="H816" s="1"/>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G817" s="1"/>
      <c r="H817" s="1"/>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G818" s="1"/>
      <c r="H818" s="1"/>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G819" s="1"/>
      <c r="H819" s="1"/>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G820" s="1"/>
      <c r="H820" s="1"/>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G821" s="1"/>
      <c r="H821" s="1"/>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G822" s="1"/>
      <c r="H822" s="1"/>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G823" s="1"/>
      <c r="H823" s="1"/>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G824" s="1"/>
      <c r="H824" s="1"/>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G825" s="1"/>
      <c r="H825" s="1"/>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G826" s="1"/>
      <c r="H826" s="1"/>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G827" s="1"/>
      <c r="H827" s="1"/>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G828" s="1"/>
      <c r="H828" s="1"/>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G829" s="1"/>
      <c r="H829" s="1"/>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G830" s="1"/>
      <c r="H830" s="1"/>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G831" s="1"/>
      <c r="H831" s="1"/>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G832" s="1"/>
      <c r="H832" s="1"/>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G833" s="1"/>
      <c r="H833" s="1"/>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G834" s="1"/>
      <c r="H834" s="1"/>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G835" s="1"/>
      <c r="H835" s="1"/>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G836" s="1"/>
      <c r="H836" s="1"/>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G837" s="1"/>
      <c r="H837" s="1"/>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G838" s="1"/>
      <c r="H838" s="1"/>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G839" s="1"/>
      <c r="H839" s="1"/>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G840" s="1"/>
      <c r="H840" s="1"/>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G841" s="1"/>
      <c r="H841" s="1"/>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G842" s="1"/>
      <c r="H842" s="1"/>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G843" s="1"/>
      <c r="H843" s="1"/>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G844" s="1"/>
      <c r="H844" s="1"/>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G845" s="1"/>
      <c r="H845" s="1"/>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G846" s="1"/>
      <c r="H846" s="1"/>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G847" s="1"/>
      <c r="H847" s="1"/>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G848" s="1"/>
      <c r="H848" s="1"/>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G849" s="1"/>
      <c r="H849" s="1"/>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G850" s="1"/>
      <c r="H850" s="1"/>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G851" s="1"/>
      <c r="H851" s="1"/>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G852" s="1"/>
      <c r="H852" s="1"/>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G853" s="1"/>
      <c r="H853" s="1"/>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G854" s="1"/>
      <c r="H854" s="1"/>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G855" s="1"/>
      <c r="H855" s="1"/>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G856" s="1"/>
      <c r="H856" s="1"/>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G857" s="1"/>
      <c r="H857" s="1"/>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G858" s="1"/>
      <c r="H858" s="1"/>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G859" s="1"/>
      <c r="H859" s="1"/>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G860" s="1"/>
      <c r="H860" s="1"/>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G861" s="1"/>
      <c r="H861" s="1"/>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G862" s="1"/>
      <c r="H862" s="1"/>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G863" s="1"/>
      <c r="H863" s="1"/>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G864" s="1"/>
      <c r="H864" s="1"/>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G865" s="1"/>
      <c r="H865" s="1"/>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G866" s="1"/>
      <c r="H866" s="1"/>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G867" s="1"/>
      <c r="H867" s="1"/>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G868" s="1"/>
      <c r="H868" s="1"/>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G869" s="1"/>
      <c r="H869" s="1"/>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G870" s="1"/>
      <c r="H870" s="1"/>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G871" s="1"/>
      <c r="H871" s="1"/>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G872" s="1"/>
      <c r="H872" s="1"/>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G873" s="1"/>
      <c r="H873" s="1"/>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G874" s="1"/>
      <c r="H874" s="1"/>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G875" s="1"/>
      <c r="H875" s="1"/>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G876" s="1"/>
      <c r="H876" s="1"/>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G877" s="1"/>
      <c r="H877" s="1"/>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G878" s="1"/>
      <c r="H878" s="1"/>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G879" s="1"/>
      <c r="H879" s="1"/>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G880" s="1"/>
      <c r="H880" s="1"/>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G881" s="1"/>
      <c r="H881" s="1"/>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G882" s="1"/>
      <c r="H882" s="1"/>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G883" s="1"/>
      <c r="H883" s="1"/>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G884" s="1"/>
      <c r="H884" s="1"/>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G885" s="1"/>
      <c r="H885" s="1"/>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G886" s="1"/>
      <c r="H886" s="1"/>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G887" s="1"/>
      <c r="H887" s="1"/>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G888" s="1"/>
      <c r="H888" s="1"/>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G889" s="1"/>
      <c r="H889" s="1"/>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G890" s="1"/>
      <c r="H890" s="1"/>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G891" s="1"/>
      <c r="H891" s="1"/>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G892" s="1"/>
      <c r="H892" s="1"/>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G893" s="1"/>
      <c r="H893" s="1"/>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G894" s="1"/>
      <c r="H894" s="1"/>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G895" s="1"/>
      <c r="H895" s="1"/>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G896" s="1"/>
      <c r="H896" s="1"/>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G897" s="1"/>
      <c r="H897" s="1"/>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G898" s="1"/>
      <c r="H898" s="1"/>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G899" s="1"/>
      <c r="H899" s="1"/>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G900" s="1"/>
      <c r="H900" s="1"/>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G901" s="1"/>
      <c r="H901" s="1"/>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G902" s="1"/>
      <c r="H902" s="1"/>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G903" s="1"/>
      <c r="H903" s="1"/>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G904" s="1"/>
      <c r="H904" s="1"/>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G905" s="1"/>
      <c r="H905" s="1"/>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G906" s="1"/>
      <c r="H906" s="1"/>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G907" s="1"/>
      <c r="H907" s="1"/>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G908" s="1"/>
      <c r="H908" s="1"/>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G909" s="1"/>
      <c r="H909" s="1"/>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G910" s="1"/>
      <c r="H910" s="1"/>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G911" s="1"/>
      <c r="H911" s="1"/>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G912" s="1"/>
      <c r="H912" s="1"/>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G913" s="1"/>
      <c r="H913" s="1"/>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G914" s="1"/>
      <c r="H914" s="1"/>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G915" s="1"/>
      <c r="H915" s="1"/>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G916" s="1"/>
      <c r="H916" s="1"/>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G917" s="1"/>
      <c r="H917" s="1"/>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G918" s="1"/>
      <c r="H918" s="1"/>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G919" s="1"/>
      <c r="H919" s="1"/>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G920" s="1"/>
      <c r="H920" s="1"/>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G921" s="1"/>
      <c r="H921" s="1"/>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G922" s="1"/>
      <c r="H922" s="1"/>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G923" s="1"/>
      <c r="H923" s="1"/>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G924" s="1"/>
      <c r="H924" s="1"/>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G925" s="1"/>
      <c r="H925" s="1"/>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G926" s="1"/>
      <c r="H926" s="1"/>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G927" s="1"/>
      <c r="H927" s="1"/>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G928" s="1"/>
      <c r="H928" s="1"/>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G929" s="1"/>
      <c r="H929" s="1"/>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G930" s="1"/>
      <c r="H930" s="1"/>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G931" s="1"/>
      <c r="H931" s="1"/>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G932" s="1"/>
      <c r="H932" s="1"/>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G933" s="1"/>
      <c r="H933" s="1"/>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G934" s="1"/>
      <c r="H934" s="1"/>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G935" s="1"/>
      <c r="H935" s="1"/>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G936" s="1"/>
      <c r="H936" s="1"/>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G937" s="1"/>
      <c r="H937" s="1"/>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G938" s="1"/>
      <c r="H938" s="1"/>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G939" s="1"/>
      <c r="H939" s="1"/>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G940" s="1"/>
      <c r="H940" s="1"/>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G941" s="1"/>
      <c r="H941" s="1"/>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G942" s="1"/>
      <c r="H942" s="1"/>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G943" s="1"/>
      <c r="H943" s="1"/>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G944" s="1"/>
      <c r="H944" s="1"/>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G945" s="1"/>
      <c r="H945" s="1"/>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G946" s="1"/>
      <c r="H946" s="1"/>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G947" s="1"/>
      <c r="H947" s="1"/>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G948" s="1"/>
      <c r="H948" s="1"/>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G949" s="1"/>
      <c r="H949" s="1"/>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G950" s="1"/>
      <c r="H950" s="1"/>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G951" s="1"/>
      <c r="H951" s="1"/>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G952" s="1"/>
      <c r="H952" s="1"/>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G953" s="1"/>
      <c r="H953" s="1"/>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G954" s="1"/>
      <c r="H954" s="1"/>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G955" s="1"/>
      <c r="H955" s="1"/>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G956" s="1"/>
      <c r="H956" s="1"/>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G957" s="1"/>
      <c r="H957" s="1"/>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G958" s="1"/>
      <c r="H958" s="1"/>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G959" s="1"/>
      <c r="H959" s="1"/>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G960" s="1"/>
      <c r="H960" s="1"/>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G961" s="1"/>
      <c r="H961" s="1"/>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G962" s="1"/>
      <c r="H962" s="1"/>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G963" s="1"/>
      <c r="H963" s="1"/>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G964" s="1"/>
      <c r="H964" s="1"/>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G965" s="1"/>
      <c r="H965" s="1"/>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G966" s="1"/>
      <c r="H966" s="1"/>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G967" s="1"/>
      <c r="H967" s="1"/>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G968" s="1"/>
      <c r="H968" s="1"/>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G969" s="1"/>
      <c r="H969" s="1"/>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G970" s="1"/>
      <c r="H970" s="1"/>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G971" s="1"/>
      <c r="H971" s="1"/>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G972" s="1"/>
      <c r="H972" s="1"/>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G973" s="1"/>
      <c r="H973" s="1"/>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G974" s="1"/>
      <c r="H974" s="1"/>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G975" s="1"/>
      <c r="H975" s="1"/>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G976" s="1"/>
      <c r="H976" s="1"/>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G977" s="1"/>
      <c r="H977" s="1"/>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G978" s="1"/>
      <c r="H978" s="1"/>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G979" s="1"/>
      <c r="H979" s="1"/>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G980" s="1"/>
      <c r="H980" s="1"/>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G981" s="1"/>
      <c r="H981" s="1"/>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G982" s="1"/>
      <c r="H982" s="1"/>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G983" s="1"/>
      <c r="H983" s="1"/>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G984" s="1"/>
      <c r="H984" s="1"/>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G985" s="1"/>
      <c r="H985" s="1"/>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G986" s="1"/>
      <c r="H986" s="1"/>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G987" s="1"/>
      <c r="H987" s="1"/>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G988" s="1"/>
      <c r="H988" s="1"/>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G989" s="1"/>
      <c r="H989" s="1"/>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G990" s="1"/>
      <c r="H990" s="1"/>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G991" s="1"/>
      <c r="H991" s="1"/>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G992" s="1"/>
      <c r="H992" s="1"/>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G993" s="1"/>
      <c r="H993" s="1"/>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G994" s="1"/>
      <c r="H994" s="1"/>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G995" s="1"/>
      <c r="H995" s="1"/>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G996" s="1"/>
      <c r="H996" s="1"/>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G997" s="1"/>
      <c r="H997" s="1"/>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G998" s="1"/>
      <c r="H998" s="1"/>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G999" s="1"/>
      <c r="H999" s="1"/>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G1000" s="1"/>
      <c r="H1000" s="1"/>
      <c r="I1000" s="1"/>
      <c r="J1000" s="1"/>
      <c r="K1000" s="1"/>
      <c r="L1000" s="1"/>
      <c r="M1000" s="1"/>
      <c r="N1000" s="1"/>
      <c r="O1000" s="1"/>
      <c r="P1000" s="1"/>
      <c r="Q1000" s="1"/>
      <c r="R1000" s="1"/>
      <c r="S1000" s="1"/>
      <c r="T1000" s="1"/>
      <c r="U1000" s="1"/>
      <c r="V1000" s="1"/>
      <c r="W1000" s="1"/>
      <c r="X1000" s="1"/>
      <c r="Y1000" s="1"/>
      <c r="Z1000" s="1"/>
    </row>
  </sheetData>
  <autoFilter ref="A3:F13"/>
  <mergeCells count="9">
    <mergeCell ref="A1:F1"/>
    <mergeCell ref="A2:F2"/>
    <mergeCell ref="A15:F15"/>
    <mergeCell ref="A16:F16"/>
    <mergeCell ref="A17:F17"/>
    <mergeCell ref="A18:F18"/>
    <mergeCell ref="A19:F19"/>
    <mergeCell ref="A20:F20"/>
    <mergeCell ref="A21:F2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5"/>
    <col collapsed="false" customWidth="true" hidden="false" outlineLevel="0" max="2" min="2" style="1" width="38"/>
    <col collapsed="false" customWidth="true" hidden="false" outlineLevel="0" max="3" min="3" style="1" width="14"/>
    <col collapsed="false" customWidth="true" hidden="false" outlineLevel="0" max="12" min="4" style="1" width="16"/>
    <col collapsed="false" customWidth="true" hidden="false" outlineLevel="0" max="26" min="13" style="1" width="8.71"/>
  </cols>
  <sheetData>
    <row r="1" customFormat="false" ht="39.75" hidden="false" customHeight="true" outlineLevel="0" collapsed="false">
      <c r="A1" s="59" t="s">
        <v>185</v>
      </c>
      <c r="B1" s="59"/>
      <c r="C1" s="59"/>
      <c r="D1" s="59"/>
      <c r="E1" s="59"/>
      <c r="F1" s="59"/>
      <c r="G1" s="59"/>
      <c r="H1" s="59"/>
      <c r="I1" s="59"/>
      <c r="J1" s="59"/>
      <c r="K1" s="59"/>
      <c r="L1" s="59"/>
    </row>
    <row r="2" customFormat="false" ht="19.5" hidden="false" customHeight="true" outlineLevel="0" collapsed="false">
      <c r="A2" s="20" t="s">
        <v>54</v>
      </c>
      <c r="B2" s="20"/>
      <c r="C2" s="20"/>
      <c r="D2" s="20"/>
      <c r="E2" s="20"/>
      <c r="F2" s="20"/>
      <c r="G2" s="20"/>
      <c r="H2" s="20"/>
      <c r="I2" s="20"/>
      <c r="J2" s="20"/>
      <c r="K2" s="20"/>
      <c r="L2" s="20"/>
    </row>
    <row r="3" customFormat="false" ht="30" hidden="false" customHeight="true" outlineLevel="0" collapsed="false">
      <c r="A3" s="60" t="s">
        <v>55</v>
      </c>
      <c r="B3" s="60" t="s">
        <v>56</v>
      </c>
      <c r="C3" s="60" t="s">
        <v>186</v>
      </c>
      <c r="D3" s="60" t="s">
        <v>187</v>
      </c>
      <c r="E3" s="60" t="s">
        <v>188</v>
      </c>
      <c r="F3" s="60" t="s">
        <v>189</v>
      </c>
      <c r="G3" s="60" t="s">
        <v>190</v>
      </c>
      <c r="H3" s="60" t="s">
        <v>191</v>
      </c>
      <c r="I3" s="60" t="s">
        <v>192</v>
      </c>
      <c r="J3" s="60" t="s">
        <v>193</v>
      </c>
      <c r="K3" s="60" t="s">
        <v>194</v>
      </c>
      <c r="L3" s="60" t="s">
        <v>195</v>
      </c>
    </row>
    <row r="4" customFormat="false" ht="15" hidden="false" customHeight="true" outlineLevel="0" collapsed="false">
      <c r="A4" s="23" t="n">
        <v>1</v>
      </c>
      <c r="B4" s="24" t="s">
        <v>150</v>
      </c>
      <c r="C4" s="23" t="n">
        <v>9</v>
      </c>
      <c r="D4" s="25" t="s">
        <v>196</v>
      </c>
      <c r="E4" s="25" t="s">
        <v>197</v>
      </c>
      <c r="F4" s="25" t="s">
        <v>198</v>
      </c>
      <c r="G4" s="25" t="s">
        <v>199</v>
      </c>
      <c r="H4" s="25" t="s">
        <v>200</v>
      </c>
      <c r="I4" s="25" t="s">
        <v>201</v>
      </c>
      <c r="J4" s="25" t="s">
        <v>202</v>
      </c>
      <c r="K4" s="25" t="s">
        <v>203</v>
      </c>
      <c r="L4" s="25" t="s">
        <v>204</v>
      </c>
    </row>
    <row r="5" customFormat="false" ht="15" hidden="false" customHeight="true" outlineLevel="0" collapsed="false">
      <c r="A5" s="28" t="n">
        <v>2</v>
      </c>
      <c r="B5" s="29" t="s">
        <v>99</v>
      </c>
      <c r="C5" s="28" t="n">
        <v>9</v>
      </c>
      <c r="D5" s="30" t="s">
        <v>205</v>
      </c>
      <c r="E5" s="30" t="s">
        <v>206</v>
      </c>
      <c r="F5" s="30" t="s">
        <v>207</v>
      </c>
      <c r="G5" s="30" t="s">
        <v>208</v>
      </c>
      <c r="H5" s="30" t="s">
        <v>200</v>
      </c>
      <c r="I5" s="30" t="s">
        <v>201</v>
      </c>
      <c r="J5" s="30" t="s">
        <v>209</v>
      </c>
      <c r="K5" s="30" t="s">
        <v>203</v>
      </c>
      <c r="L5" s="30" t="s">
        <v>204</v>
      </c>
    </row>
    <row r="6" customFormat="false" ht="15" hidden="false" customHeight="true" outlineLevel="0" collapsed="false">
      <c r="A6" s="23" t="n">
        <v>3</v>
      </c>
      <c r="B6" s="24" t="s">
        <v>156</v>
      </c>
      <c r="C6" s="23" t="n">
        <v>8</v>
      </c>
      <c r="D6" s="25" t="s">
        <v>210</v>
      </c>
      <c r="E6" s="25" t="s">
        <v>211</v>
      </c>
      <c r="F6" s="25" t="s">
        <v>212</v>
      </c>
      <c r="G6" s="25" t="s">
        <v>213</v>
      </c>
      <c r="H6" s="25" t="s">
        <v>214</v>
      </c>
      <c r="I6" s="25" t="s">
        <v>215</v>
      </c>
      <c r="J6" s="25" t="s">
        <v>216</v>
      </c>
      <c r="K6" s="25" t="s">
        <v>217</v>
      </c>
    </row>
    <row r="7" customFormat="false" ht="15" hidden="false" customHeight="true" outlineLevel="0" collapsed="false">
      <c r="A7" s="28" t="n">
        <v>4</v>
      </c>
      <c r="B7" s="29" t="s">
        <v>137</v>
      </c>
      <c r="C7" s="28" t="n">
        <v>7</v>
      </c>
      <c r="D7" s="30" t="s">
        <v>197</v>
      </c>
      <c r="E7" s="30" t="s">
        <v>218</v>
      </c>
      <c r="F7" s="30" t="s">
        <v>199</v>
      </c>
      <c r="G7" s="30" t="s">
        <v>200</v>
      </c>
      <c r="H7" s="30" t="s">
        <v>201</v>
      </c>
      <c r="I7" s="30" t="s">
        <v>209</v>
      </c>
      <c r="J7" s="30" t="s">
        <v>203</v>
      </c>
    </row>
    <row r="8" customFormat="false" ht="15" hidden="false" customHeight="true" outlineLevel="0" collapsed="false">
      <c r="A8" s="23" t="n">
        <v>5</v>
      </c>
      <c r="B8" s="24" t="s">
        <v>126</v>
      </c>
      <c r="C8" s="23" t="n">
        <v>7</v>
      </c>
      <c r="D8" s="25" t="s">
        <v>206</v>
      </c>
      <c r="E8" s="25" t="s">
        <v>211</v>
      </c>
      <c r="F8" s="25" t="s">
        <v>199</v>
      </c>
      <c r="G8" s="25" t="s">
        <v>219</v>
      </c>
      <c r="H8" s="25" t="s">
        <v>201</v>
      </c>
      <c r="I8" s="25" t="s">
        <v>209</v>
      </c>
      <c r="J8" s="25" t="s">
        <v>204</v>
      </c>
    </row>
    <row r="9" customFormat="false" ht="15" hidden="false" customHeight="true" outlineLevel="0" collapsed="false">
      <c r="A9" s="28" t="n">
        <v>6</v>
      </c>
      <c r="B9" s="29" t="s">
        <v>76</v>
      </c>
      <c r="C9" s="28" t="n">
        <v>7</v>
      </c>
      <c r="D9" s="30" t="s">
        <v>220</v>
      </c>
      <c r="E9" s="30" t="s">
        <v>221</v>
      </c>
      <c r="F9" s="30" t="s">
        <v>222</v>
      </c>
      <c r="G9" s="30" t="s">
        <v>223</v>
      </c>
      <c r="H9" s="30" t="s">
        <v>224</v>
      </c>
      <c r="I9" s="30" t="s">
        <v>209</v>
      </c>
      <c r="J9" s="30" t="s">
        <v>216</v>
      </c>
    </row>
    <row r="10" customFormat="false" ht="15" hidden="false" customHeight="true" outlineLevel="0" collapsed="false">
      <c r="A10" s="23" t="n">
        <v>7</v>
      </c>
      <c r="B10" s="24" t="s">
        <v>124</v>
      </c>
      <c r="C10" s="23" t="n">
        <v>6</v>
      </c>
      <c r="D10" s="25" t="s">
        <v>205</v>
      </c>
      <c r="E10" s="25" t="s">
        <v>225</v>
      </c>
      <c r="F10" s="25" t="s">
        <v>226</v>
      </c>
      <c r="G10" s="25" t="s">
        <v>200</v>
      </c>
      <c r="H10" s="25" t="s">
        <v>202</v>
      </c>
      <c r="I10" s="25" t="s">
        <v>227</v>
      </c>
    </row>
    <row r="11" customFormat="false" ht="15" hidden="false" customHeight="true" outlineLevel="0" collapsed="false">
      <c r="A11" s="28" t="n">
        <v>8</v>
      </c>
      <c r="B11" s="29" t="s">
        <v>82</v>
      </c>
      <c r="C11" s="28" t="n">
        <v>6</v>
      </c>
      <c r="D11" s="30" t="s">
        <v>228</v>
      </c>
      <c r="E11" s="30" t="s">
        <v>229</v>
      </c>
      <c r="F11" s="30" t="s">
        <v>230</v>
      </c>
      <c r="G11" s="30" t="s">
        <v>214</v>
      </c>
      <c r="H11" s="30" t="s">
        <v>209</v>
      </c>
      <c r="I11" s="30" t="s">
        <v>231</v>
      </c>
    </row>
    <row r="12" customFormat="false" ht="15" hidden="false" customHeight="true" outlineLevel="0" collapsed="false">
      <c r="A12" s="23" t="n">
        <v>9</v>
      </c>
      <c r="B12" s="24" t="s">
        <v>154</v>
      </c>
      <c r="C12" s="23" t="n">
        <v>6</v>
      </c>
      <c r="D12" s="25" t="s">
        <v>205</v>
      </c>
      <c r="E12" s="25" t="s">
        <v>210</v>
      </c>
      <c r="F12" s="25" t="s">
        <v>232</v>
      </c>
      <c r="G12" s="25" t="s">
        <v>199</v>
      </c>
      <c r="H12" s="25" t="s">
        <v>233</v>
      </c>
      <c r="I12" s="25" t="s">
        <v>234</v>
      </c>
    </row>
    <row r="13" customFormat="false" ht="15" hidden="false" customHeight="true" outlineLevel="0" collapsed="false">
      <c r="A13" s="28" t="n">
        <v>10</v>
      </c>
      <c r="B13" s="29" t="s">
        <v>139</v>
      </c>
      <c r="C13" s="28" t="n">
        <v>6</v>
      </c>
      <c r="D13" s="30" t="s">
        <v>235</v>
      </c>
      <c r="E13" s="30" t="s">
        <v>229</v>
      </c>
      <c r="F13" s="30" t="s">
        <v>230</v>
      </c>
      <c r="G13" s="30" t="s">
        <v>214</v>
      </c>
      <c r="H13" s="30" t="s">
        <v>209</v>
      </c>
      <c r="I13" s="30" t="s">
        <v>231</v>
      </c>
    </row>
    <row r="14" customFormat="false" ht="15" hidden="false" customHeight="true" outlineLevel="0" collapsed="false">
      <c r="A14" s="23" t="n">
        <v>11</v>
      </c>
      <c r="B14" s="24" t="s">
        <v>115</v>
      </c>
      <c r="C14" s="23" t="n">
        <v>6</v>
      </c>
      <c r="D14" s="25" t="s">
        <v>236</v>
      </c>
      <c r="E14" s="25" t="s">
        <v>225</v>
      </c>
      <c r="F14" s="25" t="s">
        <v>207</v>
      </c>
      <c r="G14" s="25" t="s">
        <v>233</v>
      </c>
      <c r="H14" s="25" t="s">
        <v>224</v>
      </c>
      <c r="I14" s="25" t="s">
        <v>215</v>
      </c>
    </row>
    <row r="15" customFormat="false" ht="15" hidden="false" customHeight="true" outlineLevel="0" collapsed="false">
      <c r="A15" s="28" t="n">
        <v>12</v>
      </c>
      <c r="B15" s="29" t="s">
        <v>143</v>
      </c>
      <c r="C15" s="28" t="n">
        <v>5</v>
      </c>
      <c r="D15" s="30" t="s">
        <v>228</v>
      </c>
      <c r="E15" s="30" t="s">
        <v>210</v>
      </c>
      <c r="F15" s="30" t="s">
        <v>211</v>
      </c>
      <c r="G15" s="30" t="s">
        <v>226</v>
      </c>
      <c r="H15" s="30" t="s">
        <v>209</v>
      </c>
    </row>
    <row r="16" customFormat="false" ht="15" hidden="false" customHeight="true" outlineLevel="0" collapsed="false">
      <c r="A16" s="23" t="n">
        <v>13</v>
      </c>
      <c r="B16" s="24" t="s">
        <v>105</v>
      </c>
      <c r="C16" s="23" t="n">
        <v>5</v>
      </c>
      <c r="D16" s="25" t="s">
        <v>228</v>
      </c>
      <c r="E16" s="25" t="s">
        <v>210</v>
      </c>
      <c r="F16" s="25" t="s">
        <v>207</v>
      </c>
      <c r="G16" s="25" t="s">
        <v>226</v>
      </c>
      <c r="H16" s="25" t="s">
        <v>202</v>
      </c>
    </row>
    <row r="17" customFormat="false" ht="15" hidden="false" customHeight="true" outlineLevel="0" collapsed="false">
      <c r="A17" s="28" t="n">
        <v>14</v>
      </c>
      <c r="B17" s="29" t="s">
        <v>101</v>
      </c>
      <c r="C17" s="28" t="n">
        <v>5</v>
      </c>
      <c r="D17" s="30" t="s">
        <v>205</v>
      </c>
      <c r="E17" s="30" t="s">
        <v>237</v>
      </c>
      <c r="F17" s="30" t="s">
        <v>200</v>
      </c>
      <c r="G17" s="30" t="s">
        <v>223</v>
      </c>
      <c r="H17" s="30" t="s">
        <v>209</v>
      </c>
    </row>
    <row r="18" customFormat="false" ht="15" hidden="false" customHeight="true" outlineLevel="0" collapsed="false">
      <c r="A18" s="23" t="n">
        <v>15</v>
      </c>
      <c r="B18" s="24" t="s">
        <v>88</v>
      </c>
      <c r="C18" s="23" t="n">
        <v>5</v>
      </c>
      <c r="D18" s="25" t="s">
        <v>196</v>
      </c>
      <c r="E18" s="25" t="s">
        <v>237</v>
      </c>
      <c r="F18" s="25" t="s">
        <v>213</v>
      </c>
      <c r="G18" s="25" t="s">
        <v>230</v>
      </c>
      <c r="H18" s="25" t="s">
        <v>224</v>
      </c>
    </row>
    <row r="19" customFormat="false" ht="15" hidden="false" customHeight="true" outlineLevel="0" collapsed="false">
      <c r="A19" s="28" t="n">
        <v>16</v>
      </c>
      <c r="B19" s="29" t="s">
        <v>91</v>
      </c>
      <c r="C19" s="28" t="n">
        <v>5</v>
      </c>
      <c r="D19" s="30" t="s">
        <v>205</v>
      </c>
      <c r="E19" s="30" t="s">
        <v>238</v>
      </c>
      <c r="F19" s="30" t="s">
        <v>211</v>
      </c>
      <c r="G19" s="30" t="s">
        <v>199</v>
      </c>
      <c r="H19" s="30" t="s">
        <v>233</v>
      </c>
    </row>
    <row r="20" customFormat="false" ht="15" hidden="false" customHeight="true" outlineLevel="0" collapsed="false">
      <c r="A20" s="23" t="n">
        <v>17</v>
      </c>
      <c r="B20" s="24" t="s">
        <v>155</v>
      </c>
      <c r="C20" s="23" t="n">
        <v>5</v>
      </c>
      <c r="D20" s="25" t="s">
        <v>205</v>
      </c>
      <c r="E20" s="25" t="s">
        <v>238</v>
      </c>
      <c r="F20" s="25" t="s">
        <v>211</v>
      </c>
      <c r="G20" s="25" t="s">
        <v>226</v>
      </c>
      <c r="H20" s="25" t="s">
        <v>239</v>
      </c>
    </row>
    <row r="21" customFormat="false" ht="15.75" hidden="false" customHeight="true" outlineLevel="0" collapsed="false">
      <c r="A21" s="28" t="n">
        <v>18</v>
      </c>
      <c r="B21" s="29" t="s">
        <v>111</v>
      </c>
      <c r="C21" s="28" t="n">
        <v>4</v>
      </c>
      <c r="D21" s="30" t="s">
        <v>205</v>
      </c>
      <c r="E21" s="30" t="s">
        <v>225</v>
      </c>
      <c r="F21" s="30" t="s">
        <v>202</v>
      </c>
      <c r="G21" s="30" t="s">
        <v>227</v>
      </c>
    </row>
    <row r="22" customFormat="false" ht="15.75" hidden="false" customHeight="true" outlineLevel="0" collapsed="false">
      <c r="A22" s="23" t="n">
        <v>19</v>
      </c>
      <c r="B22" s="24" t="s">
        <v>78</v>
      </c>
      <c r="C22" s="23" t="n">
        <v>4</v>
      </c>
      <c r="D22" s="25" t="s">
        <v>205</v>
      </c>
      <c r="E22" s="25" t="s">
        <v>240</v>
      </c>
      <c r="F22" s="25" t="s">
        <v>201</v>
      </c>
      <c r="G22" s="25" t="s">
        <v>202</v>
      </c>
    </row>
    <row r="23" customFormat="false" ht="15.75" hidden="false" customHeight="true" outlineLevel="0" collapsed="false">
      <c r="A23" s="28" t="n">
        <v>20</v>
      </c>
      <c r="B23" s="29" t="s">
        <v>97</v>
      </c>
      <c r="C23" s="28" t="n">
        <v>4</v>
      </c>
      <c r="D23" s="30" t="s">
        <v>221</v>
      </c>
      <c r="E23" s="30" t="s">
        <v>223</v>
      </c>
      <c r="F23" s="30" t="s">
        <v>224</v>
      </c>
      <c r="G23" s="30" t="s">
        <v>216</v>
      </c>
    </row>
    <row r="24" customFormat="false" ht="15.75" hidden="false" customHeight="true" outlineLevel="0" collapsed="false">
      <c r="A24" s="23" t="n">
        <v>21</v>
      </c>
      <c r="B24" s="24" t="s">
        <v>95</v>
      </c>
      <c r="C24" s="23" t="n">
        <v>3</v>
      </c>
      <c r="D24" s="25" t="s">
        <v>241</v>
      </c>
      <c r="E24" s="25" t="s">
        <v>242</v>
      </c>
      <c r="F24" s="25" t="s">
        <v>243</v>
      </c>
    </row>
    <row r="25" customFormat="false" ht="15.75" hidden="false" customHeight="true" outlineLevel="0" collapsed="false">
      <c r="A25" s="28" t="n">
        <v>22</v>
      </c>
      <c r="B25" s="29" t="s">
        <v>84</v>
      </c>
      <c r="C25" s="28" t="n">
        <v>3</v>
      </c>
      <c r="D25" s="30" t="s">
        <v>199</v>
      </c>
      <c r="E25" s="30" t="s">
        <v>202</v>
      </c>
      <c r="F25" s="30" t="s">
        <v>244</v>
      </c>
    </row>
    <row r="26" customFormat="false" ht="15.75" hidden="false" customHeight="true" outlineLevel="0" collapsed="false">
      <c r="A26" s="23" t="n">
        <v>23</v>
      </c>
      <c r="B26" s="24" t="s">
        <v>144</v>
      </c>
      <c r="C26" s="23" t="n">
        <v>2</v>
      </c>
      <c r="D26" s="25" t="s">
        <v>237</v>
      </c>
      <c r="E26" s="25" t="s">
        <v>209</v>
      </c>
    </row>
    <row r="27" customFormat="false" ht="15.75" hidden="false" customHeight="true" outlineLevel="0" collapsed="false">
      <c r="A27" s="28" t="n">
        <v>24</v>
      </c>
      <c r="B27" s="29" t="s">
        <v>152</v>
      </c>
      <c r="C27" s="28" t="n">
        <v>1</v>
      </c>
      <c r="D27" s="30" t="s">
        <v>198</v>
      </c>
    </row>
    <row r="28" customFormat="false" ht="15.75" hidden="false" customHeight="true" outlineLevel="0" collapsed="false">
      <c r="A28" s="23" t="n">
        <v>25</v>
      </c>
      <c r="B28" s="24" t="s">
        <v>119</v>
      </c>
      <c r="C28" s="23" t="n">
        <v>1</v>
      </c>
      <c r="D28" s="25" t="s">
        <v>245</v>
      </c>
    </row>
    <row r="29" customFormat="false" ht="15.75" hidden="false" customHeight="true" outlineLevel="0" collapsed="false">
      <c r="A29" s="28" t="n">
        <v>26</v>
      </c>
      <c r="B29" s="29" t="s">
        <v>147</v>
      </c>
      <c r="C29" s="28" t="n">
        <v>1</v>
      </c>
      <c r="D29" s="30" t="s">
        <v>246</v>
      </c>
    </row>
    <row r="30" customFormat="false" ht="15.75" hidden="false" customHeight="true" outlineLevel="0" collapsed="false">
      <c r="A30" s="23" t="n">
        <v>27</v>
      </c>
      <c r="B30" s="24" t="s">
        <v>107</v>
      </c>
      <c r="C30" s="23" t="n">
        <v>1</v>
      </c>
      <c r="D30" s="25" t="s">
        <v>236</v>
      </c>
    </row>
    <row r="31" customFormat="false" ht="15.75" hidden="false" customHeight="true" outlineLevel="0" collapsed="false">
      <c r="A31" s="28" t="n">
        <v>28</v>
      </c>
      <c r="B31" s="29" t="s">
        <v>146</v>
      </c>
      <c r="C31" s="28" t="n">
        <v>1</v>
      </c>
      <c r="D31" s="30" t="s">
        <v>236</v>
      </c>
    </row>
    <row r="32" customFormat="false" ht="15.75" hidden="false" customHeight="true" outlineLevel="0" collapsed="false">
      <c r="A32" s="23" t="n">
        <v>29</v>
      </c>
      <c r="B32" s="24" t="s">
        <v>131</v>
      </c>
      <c r="C32" s="23" t="n">
        <v>1</v>
      </c>
      <c r="D32" s="25" t="s">
        <v>198</v>
      </c>
    </row>
    <row r="33" customFormat="false" ht="15.75" hidden="false" customHeight="true" outlineLevel="0" collapsed="false">
      <c r="A33" s="28" t="n">
        <v>30</v>
      </c>
      <c r="B33" s="29" t="s">
        <v>86</v>
      </c>
      <c r="C33" s="28" t="n">
        <v>1</v>
      </c>
      <c r="D33" s="30" t="s">
        <v>209</v>
      </c>
    </row>
    <row r="34" customFormat="false" ht="15.75" hidden="false" customHeight="true" outlineLevel="0" collapsed="false">
      <c r="A34" s="23" t="n">
        <v>31</v>
      </c>
      <c r="B34" s="24" t="s">
        <v>93</v>
      </c>
      <c r="C34" s="23" t="n">
        <v>1</v>
      </c>
      <c r="D34" s="25" t="s">
        <v>247</v>
      </c>
    </row>
    <row r="35" customFormat="false" ht="15.75" hidden="false" customHeight="true" outlineLevel="0" collapsed="false">
      <c r="B35" s="61" t="s">
        <v>248</v>
      </c>
      <c r="C35" s="39" t="n">
        <f aca="false">SUM(C4:C34)</f>
        <v>135</v>
      </c>
    </row>
    <row r="36" customFormat="false" ht="15.75" hidden="false" customHeight="true" outlineLevel="0" collapsed="false"/>
    <row r="37" customFormat="false" ht="15.75" hidden="false" customHeight="true" outlineLevel="0" collapsed="false">
      <c r="A37" s="45" t="s">
        <v>159</v>
      </c>
      <c r="B37" s="45"/>
      <c r="C37" s="45"/>
      <c r="D37" s="45"/>
      <c r="E37" s="45"/>
      <c r="F37" s="45"/>
      <c r="G37" s="45"/>
      <c r="H37" s="45"/>
      <c r="I37" s="45"/>
      <c r="J37" s="45"/>
      <c r="K37" s="45"/>
      <c r="L37" s="45"/>
    </row>
    <row r="38" customFormat="false" ht="15.75" hidden="false" customHeight="true" outlineLevel="0" collapsed="false">
      <c r="A38" s="46" t="s">
        <v>249</v>
      </c>
      <c r="B38" s="46"/>
      <c r="C38" s="46"/>
      <c r="D38" s="46"/>
      <c r="E38" s="46"/>
      <c r="F38" s="46"/>
      <c r="G38" s="46"/>
      <c r="H38" s="46"/>
      <c r="I38" s="46"/>
      <c r="J38" s="46"/>
      <c r="K38" s="46"/>
      <c r="L38" s="46"/>
    </row>
    <row r="39" customFormat="false" ht="15.75" hidden="false" customHeight="true" outlineLevel="0" collapsed="false">
      <c r="A39" s="46" t="s">
        <v>250</v>
      </c>
      <c r="B39" s="46"/>
      <c r="C39" s="46"/>
      <c r="D39" s="46"/>
      <c r="E39" s="46"/>
      <c r="F39" s="46"/>
      <c r="G39" s="46"/>
      <c r="H39" s="46"/>
      <c r="I39" s="46"/>
      <c r="J39" s="46"/>
      <c r="K39" s="46"/>
      <c r="L39" s="46"/>
    </row>
    <row r="40" customFormat="false" ht="15.75" hidden="false" customHeight="true" outlineLevel="0" collapsed="false">
      <c r="A40" s="46" t="s">
        <v>251</v>
      </c>
      <c r="B40" s="46"/>
      <c r="C40" s="46"/>
      <c r="D40" s="46"/>
      <c r="E40" s="46"/>
      <c r="F40" s="46"/>
      <c r="G40" s="46"/>
      <c r="H40" s="46"/>
      <c r="I40" s="46"/>
      <c r="J40" s="46"/>
      <c r="K40" s="46"/>
      <c r="L40" s="46"/>
    </row>
    <row r="41" customFormat="false" ht="15.75" hidden="false" customHeight="true" outlineLevel="0" collapsed="false">
      <c r="A41" s="46" t="s">
        <v>252</v>
      </c>
      <c r="B41" s="46"/>
      <c r="C41" s="46"/>
      <c r="D41" s="46"/>
      <c r="E41" s="46"/>
      <c r="F41" s="46"/>
      <c r="G41" s="46"/>
      <c r="H41" s="46"/>
      <c r="I41" s="46"/>
      <c r="J41" s="46"/>
      <c r="K41" s="46"/>
      <c r="L41" s="46"/>
    </row>
    <row r="42" customFormat="false" ht="15.75" hidden="false" customHeight="true" outlineLevel="0" collapsed="false">
      <c r="A42" s="46" t="s">
        <v>253</v>
      </c>
      <c r="B42" s="46"/>
      <c r="C42" s="46"/>
      <c r="D42" s="46"/>
      <c r="E42" s="46"/>
      <c r="F42" s="46"/>
      <c r="G42" s="46"/>
      <c r="H42" s="46"/>
      <c r="I42" s="46"/>
      <c r="J42" s="46"/>
      <c r="K42" s="46"/>
      <c r="L42" s="46"/>
    </row>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3:L34"/>
  <mergeCells count="8">
    <mergeCell ref="A1:L1"/>
    <mergeCell ref="A2:L2"/>
    <mergeCell ref="A37:L37"/>
    <mergeCell ref="A38:L38"/>
    <mergeCell ref="A39:L39"/>
    <mergeCell ref="A40:L40"/>
    <mergeCell ref="A41:L41"/>
    <mergeCell ref="A42:L4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5"/>
    <col collapsed="false" customWidth="true" hidden="false" outlineLevel="0" max="2" min="2" style="1" width="38"/>
    <col collapsed="false" customWidth="true" hidden="false" outlineLevel="0" max="3" min="3" style="1" width="14"/>
    <col collapsed="false" customWidth="true" hidden="false" outlineLevel="0" max="13" min="4" style="1" width="16"/>
    <col collapsed="false" customWidth="true" hidden="false" outlineLevel="0" max="26" min="14" style="1" width="8.71"/>
  </cols>
  <sheetData>
    <row r="1" customFormat="false" ht="39.75" hidden="false" customHeight="true" outlineLevel="0" collapsed="false">
      <c r="A1" s="19" t="s">
        <v>254</v>
      </c>
      <c r="B1" s="19"/>
      <c r="C1" s="19"/>
      <c r="D1" s="19"/>
      <c r="E1" s="19"/>
      <c r="F1" s="19"/>
      <c r="G1" s="19"/>
      <c r="H1" s="19"/>
      <c r="I1" s="19"/>
      <c r="J1" s="19"/>
      <c r="K1" s="19"/>
      <c r="L1" s="19"/>
      <c r="M1" s="19"/>
    </row>
    <row r="2" customFormat="false" ht="19.5" hidden="false" customHeight="true" outlineLevel="0" collapsed="false">
      <c r="A2" s="20" t="s">
        <v>54</v>
      </c>
      <c r="B2" s="20"/>
      <c r="C2" s="20"/>
      <c r="D2" s="20"/>
      <c r="E2" s="20"/>
      <c r="F2" s="20"/>
      <c r="G2" s="20"/>
      <c r="H2" s="20"/>
      <c r="I2" s="20"/>
      <c r="J2" s="20"/>
      <c r="K2" s="20"/>
      <c r="L2" s="20"/>
      <c r="M2" s="20"/>
    </row>
    <row r="3" customFormat="false" ht="30" hidden="false" customHeight="true" outlineLevel="0" collapsed="false">
      <c r="A3" s="62" t="s">
        <v>55</v>
      </c>
      <c r="B3" s="62" t="s">
        <v>56</v>
      </c>
      <c r="C3" s="62" t="s">
        <v>255</v>
      </c>
      <c r="D3" s="62" t="s">
        <v>187</v>
      </c>
      <c r="E3" s="62" t="s">
        <v>188</v>
      </c>
      <c r="F3" s="62" t="s">
        <v>189</v>
      </c>
      <c r="G3" s="62" t="s">
        <v>190</v>
      </c>
      <c r="H3" s="62" t="s">
        <v>191</v>
      </c>
      <c r="I3" s="62" t="s">
        <v>192</v>
      </c>
      <c r="J3" s="62" t="s">
        <v>193</v>
      </c>
      <c r="K3" s="62" t="s">
        <v>194</v>
      </c>
      <c r="L3" s="62" t="s">
        <v>195</v>
      </c>
      <c r="M3" s="62" t="s">
        <v>256</v>
      </c>
    </row>
    <row r="4" customFormat="false" ht="15" hidden="false" customHeight="true" outlineLevel="0" collapsed="false">
      <c r="A4" s="23" t="n">
        <v>1</v>
      </c>
      <c r="B4" s="24" t="s">
        <v>113</v>
      </c>
      <c r="C4" s="23" t="n">
        <v>10</v>
      </c>
      <c r="D4" s="25" t="s">
        <v>257</v>
      </c>
      <c r="E4" s="25" t="s">
        <v>258</v>
      </c>
      <c r="F4" s="25" t="s">
        <v>259</v>
      </c>
      <c r="G4" s="25" t="s">
        <v>260</v>
      </c>
      <c r="H4" s="25" t="s">
        <v>261</v>
      </c>
      <c r="I4" s="25" t="s">
        <v>262</v>
      </c>
      <c r="J4" s="25" t="s">
        <v>263</v>
      </c>
      <c r="K4" s="25" t="s">
        <v>264</v>
      </c>
      <c r="L4" s="25" t="s">
        <v>265</v>
      </c>
      <c r="M4" s="25" t="s">
        <v>266</v>
      </c>
    </row>
    <row r="5" customFormat="false" ht="15" hidden="false" customHeight="true" outlineLevel="0" collapsed="false">
      <c r="A5" s="28" t="n">
        <v>2</v>
      </c>
      <c r="B5" s="29" t="s">
        <v>152</v>
      </c>
      <c r="C5" s="28" t="n">
        <v>8</v>
      </c>
      <c r="D5" s="30" t="s">
        <v>267</v>
      </c>
      <c r="E5" s="30" t="s">
        <v>268</v>
      </c>
      <c r="F5" s="30" t="s">
        <v>269</v>
      </c>
      <c r="G5" s="30" t="s">
        <v>270</v>
      </c>
      <c r="H5" s="30" t="s">
        <v>271</v>
      </c>
      <c r="I5" s="30" t="s">
        <v>272</v>
      </c>
      <c r="J5" s="30" t="s">
        <v>273</v>
      </c>
      <c r="K5" s="30" t="s">
        <v>274</v>
      </c>
    </row>
    <row r="6" customFormat="false" ht="15" hidden="false" customHeight="true" outlineLevel="0" collapsed="false">
      <c r="A6" s="23" t="n">
        <v>3</v>
      </c>
      <c r="B6" s="24" t="s">
        <v>147</v>
      </c>
      <c r="C6" s="23" t="n">
        <v>7</v>
      </c>
      <c r="D6" s="25" t="s">
        <v>275</v>
      </c>
      <c r="E6" s="25" t="s">
        <v>268</v>
      </c>
      <c r="F6" s="25" t="s">
        <v>276</v>
      </c>
      <c r="G6" s="25" t="s">
        <v>277</v>
      </c>
      <c r="H6" s="25" t="s">
        <v>278</v>
      </c>
      <c r="I6" s="25" t="s">
        <v>279</v>
      </c>
      <c r="J6" s="25" t="s">
        <v>280</v>
      </c>
    </row>
    <row r="7" customFormat="false" ht="15" hidden="false" customHeight="true" outlineLevel="0" collapsed="false">
      <c r="A7" s="28" t="n">
        <v>4</v>
      </c>
      <c r="B7" s="29" t="s">
        <v>88</v>
      </c>
      <c r="C7" s="28" t="n">
        <v>5</v>
      </c>
      <c r="D7" s="30" t="s">
        <v>281</v>
      </c>
      <c r="E7" s="30" t="s">
        <v>282</v>
      </c>
      <c r="F7" s="30" t="s">
        <v>283</v>
      </c>
      <c r="G7" s="30" t="s">
        <v>284</v>
      </c>
      <c r="H7" s="30" t="s">
        <v>285</v>
      </c>
    </row>
    <row r="8" customFormat="false" ht="15" hidden="false" customHeight="true" outlineLevel="0" collapsed="false">
      <c r="A8" s="23" t="n">
        <v>5</v>
      </c>
      <c r="B8" s="24" t="s">
        <v>97</v>
      </c>
      <c r="C8" s="23" t="n">
        <v>5</v>
      </c>
      <c r="D8" s="25" t="s">
        <v>286</v>
      </c>
      <c r="E8" s="25" t="s">
        <v>287</v>
      </c>
      <c r="F8" s="25" t="s">
        <v>288</v>
      </c>
      <c r="G8" s="25" t="s">
        <v>289</v>
      </c>
      <c r="H8" s="25" t="s">
        <v>285</v>
      </c>
    </row>
    <row r="9" customFormat="false" ht="15" hidden="false" customHeight="true" outlineLevel="0" collapsed="false">
      <c r="A9" s="28" t="n">
        <v>6</v>
      </c>
      <c r="B9" s="29" t="s">
        <v>109</v>
      </c>
      <c r="C9" s="28" t="n">
        <v>4</v>
      </c>
      <c r="D9" s="30" t="s">
        <v>290</v>
      </c>
      <c r="E9" s="30" t="s">
        <v>291</v>
      </c>
      <c r="F9" s="30" t="s">
        <v>292</v>
      </c>
      <c r="G9" s="30" t="s">
        <v>274</v>
      </c>
    </row>
    <row r="10" customFormat="false" ht="15" hidden="false" customHeight="true" outlineLevel="0" collapsed="false">
      <c r="A10" s="23" t="n">
        <v>7</v>
      </c>
      <c r="B10" s="24" t="s">
        <v>131</v>
      </c>
      <c r="C10" s="23" t="n">
        <v>4</v>
      </c>
      <c r="D10" s="25" t="s">
        <v>270</v>
      </c>
      <c r="E10" s="25" t="s">
        <v>272</v>
      </c>
      <c r="F10" s="25" t="s">
        <v>283</v>
      </c>
      <c r="G10" s="25" t="s">
        <v>274</v>
      </c>
    </row>
    <row r="11" customFormat="false" ht="15" hidden="false" customHeight="true" outlineLevel="0" collapsed="false">
      <c r="A11" s="28" t="n">
        <v>8</v>
      </c>
      <c r="B11" s="29" t="s">
        <v>82</v>
      </c>
      <c r="C11" s="28" t="n">
        <v>3</v>
      </c>
      <c r="D11" s="30" t="s">
        <v>293</v>
      </c>
      <c r="E11" s="30" t="s">
        <v>294</v>
      </c>
      <c r="F11" s="30" t="s">
        <v>295</v>
      </c>
    </row>
    <row r="12" customFormat="false" ht="15" hidden="false" customHeight="true" outlineLevel="0" collapsed="false">
      <c r="A12" s="23" t="n">
        <v>9</v>
      </c>
      <c r="B12" s="24" t="s">
        <v>139</v>
      </c>
      <c r="C12" s="23" t="n">
        <v>3</v>
      </c>
      <c r="D12" s="25" t="s">
        <v>293</v>
      </c>
      <c r="E12" s="25" t="s">
        <v>294</v>
      </c>
      <c r="F12" s="25" t="s">
        <v>295</v>
      </c>
    </row>
    <row r="13" customFormat="false" ht="15" hidden="false" customHeight="true" outlineLevel="0" collapsed="false">
      <c r="A13" s="28" t="n">
        <v>10</v>
      </c>
      <c r="B13" s="29" t="s">
        <v>76</v>
      </c>
      <c r="C13" s="28" t="n">
        <v>3</v>
      </c>
      <c r="D13" s="30" t="s">
        <v>286</v>
      </c>
      <c r="E13" s="30" t="s">
        <v>288</v>
      </c>
      <c r="F13" s="30" t="s">
        <v>285</v>
      </c>
    </row>
    <row r="14" customFormat="false" ht="15" hidden="false" customHeight="true" outlineLevel="0" collapsed="false">
      <c r="A14" s="23" t="n">
        <v>11</v>
      </c>
      <c r="B14" s="24" t="s">
        <v>101</v>
      </c>
      <c r="C14" s="23" t="n">
        <v>2</v>
      </c>
      <c r="D14" s="25" t="s">
        <v>296</v>
      </c>
      <c r="E14" s="25" t="s">
        <v>297</v>
      </c>
    </row>
    <row r="15" customFormat="false" ht="15" hidden="false" customHeight="true" outlineLevel="0" collapsed="false">
      <c r="A15" s="28" t="n">
        <v>12</v>
      </c>
      <c r="B15" s="29" t="s">
        <v>137</v>
      </c>
      <c r="C15" s="28" t="n">
        <v>2</v>
      </c>
      <c r="D15" s="30" t="s">
        <v>298</v>
      </c>
      <c r="E15" s="30" t="s">
        <v>280</v>
      </c>
    </row>
    <row r="16" customFormat="false" ht="15" hidden="false" customHeight="true" outlineLevel="0" collapsed="false">
      <c r="A16" s="23" t="n">
        <v>13</v>
      </c>
      <c r="B16" s="24" t="s">
        <v>78</v>
      </c>
      <c r="C16" s="23" t="n">
        <v>2</v>
      </c>
      <c r="D16" s="25" t="s">
        <v>299</v>
      </c>
      <c r="E16" s="25" t="s">
        <v>300</v>
      </c>
    </row>
    <row r="17" customFormat="false" ht="15" hidden="false" customHeight="true" outlineLevel="0" collapsed="false">
      <c r="A17" s="28" t="n">
        <v>14</v>
      </c>
      <c r="B17" s="29" t="s">
        <v>143</v>
      </c>
      <c r="C17" s="28" t="n">
        <v>1</v>
      </c>
      <c r="D17" s="30" t="s">
        <v>300</v>
      </c>
    </row>
    <row r="18" customFormat="false" ht="15" hidden="false" customHeight="true" outlineLevel="0" collapsed="false">
      <c r="A18" s="23" t="n">
        <v>15</v>
      </c>
      <c r="B18" s="24" t="s">
        <v>124</v>
      </c>
      <c r="C18" s="23" t="n">
        <v>1</v>
      </c>
      <c r="D18" s="25" t="s">
        <v>280</v>
      </c>
    </row>
    <row r="19" customFormat="false" ht="15" hidden="false" customHeight="true" outlineLevel="0" collapsed="false">
      <c r="A19" s="28" t="n">
        <v>16</v>
      </c>
      <c r="B19" s="29" t="s">
        <v>105</v>
      </c>
      <c r="C19" s="28" t="n">
        <v>1</v>
      </c>
      <c r="D19" s="30" t="s">
        <v>300</v>
      </c>
    </row>
    <row r="20" customFormat="false" ht="15" hidden="false" customHeight="true" outlineLevel="0" collapsed="false">
      <c r="A20" s="23" t="n">
        <v>17</v>
      </c>
      <c r="B20" s="24" t="s">
        <v>111</v>
      </c>
      <c r="C20" s="23" t="n">
        <v>1</v>
      </c>
      <c r="D20" s="25" t="s">
        <v>299</v>
      </c>
    </row>
    <row r="21" customFormat="false" ht="15.75" hidden="false" customHeight="true" outlineLevel="0" collapsed="false">
      <c r="A21" s="28" t="n">
        <v>18</v>
      </c>
      <c r="B21" s="29" t="s">
        <v>154</v>
      </c>
      <c r="C21" s="28" t="n">
        <v>1</v>
      </c>
      <c r="D21" s="30" t="s">
        <v>301</v>
      </c>
    </row>
    <row r="22" customFormat="false" ht="15.75" hidden="false" customHeight="true" outlineLevel="0" collapsed="false">
      <c r="A22" s="23" t="n">
        <v>19</v>
      </c>
      <c r="B22" s="24" t="s">
        <v>91</v>
      </c>
      <c r="C22" s="23" t="n">
        <v>1</v>
      </c>
      <c r="D22" s="25" t="s">
        <v>302</v>
      </c>
    </row>
    <row r="23" customFormat="false" ht="15.75" hidden="false" customHeight="true" outlineLevel="0" collapsed="false">
      <c r="A23" s="28" t="n">
        <v>20</v>
      </c>
      <c r="B23" s="29" t="s">
        <v>155</v>
      </c>
      <c r="C23" s="28" t="n">
        <v>1</v>
      </c>
      <c r="D23" s="30" t="s">
        <v>302</v>
      </c>
    </row>
    <row r="24" customFormat="false" ht="15.75" hidden="false" customHeight="true" outlineLevel="0" collapsed="false">
      <c r="A24" s="23" t="n">
        <v>21</v>
      </c>
      <c r="B24" s="24" t="s">
        <v>126</v>
      </c>
      <c r="C24" s="23" t="n">
        <v>1</v>
      </c>
      <c r="D24" s="25" t="s">
        <v>298</v>
      </c>
    </row>
    <row r="25" customFormat="false" ht="15.75" hidden="false" customHeight="true" outlineLevel="0" collapsed="false">
      <c r="A25" s="28" t="n">
        <v>22</v>
      </c>
      <c r="B25" s="29" t="s">
        <v>115</v>
      </c>
      <c r="C25" s="28" t="n">
        <v>1</v>
      </c>
      <c r="D25" s="30" t="s">
        <v>303</v>
      </c>
    </row>
    <row r="26" customFormat="false" ht="15.75" hidden="false" customHeight="true" outlineLevel="0" collapsed="false">
      <c r="A26" s="23" t="n">
        <v>23</v>
      </c>
      <c r="B26" s="24" t="s">
        <v>84</v>
      </c>
      <c r="C26" s="23" t="n">
        <v>1</v>
      </c>
      <c r="D26" s="25" t="s">
        <v>300</v>
      </c>
    </row>
    <row r="27" customFormat="false" ht="15.75" hidden="false" customHeight="true" outlineLevel="0" collapsed="false">
      <c r="A27" s="28" t="n">
        <v>24</v>
      </c>
      <c r="B27" s="29" t="s">
        <v>73</v>
      </c>
      <c r="C27" s="28" t="n">
        <v>1</v>
      </c>
      <c r="D27" s="30" t="s">
        <v>304</v>
      </c>
    </row>
    <row r="28" customFormat="false" ht="15.75" hidden="false" customHeight="true" outlineLevel="0" collapsed="false">
      <c r="A28" s="23" t="n">
        <v>25</v>
      </c>
      <c r="B28" s="24" t="s">
        <v>86</v>
      </c>
      <c r="C28" s="23" t="n">
        <v>1</v>
      </c>
      <c r="D28" s="25" t="s">
        <v>297</v>
      </c>
    </row>
    <row r="29" customFormat="false" ht="15.75" hidden="false" customHeight="true" outlineLevel="0" collapsed="false">
      <c r="A29" s="28" t="n">
        <v>26</v>
      </c>
      <c r="B29" s="29" t="s">
        <v>93</v>
      </c>
      <c r="C29" s="28" t="n">
        <v>1</v>
      </c>
      <c r="D29" s="30" t="s">
        <v>305</v>
      </c>
    </row>
    <row r="30" customFormat="false" ht="15.75" hidden="false" customHeight="true" outlineLevel="0" collapsed="false">
      <c r="A30" s="23" t="n">
        <v>27</v>
      </c>
      <c r="B30" s="24" t="s">
        <v>123</v>
      </c>
      <c r="C30" s="23" t="n">
        <v>1</v>
      </c>
      <c r="D30" s="25" t="s">
        <v>306</v>
      </c>
    </row>
    <row r="31" customFormat="false" ht="15.75" hidden="false" customHeight="true" outlineLevel="0" collapsed="false">
      <c r="B31" s="61" t="s">
        <v>248</v>
      </c>
      <c r="C31" s="39" t="n">
        <f aca="false">SUM(C4:C30)</f>
        <v>72</v>
      </c>
    </row>
    <row r="32" customFormat="false" ht="15.75" hidden="false" customHeight="true" outlineLevel="0" collapsed="false"/>
    <row r="33" customFormat="false" ht="15.75" hidden="false" customHeight="true" outlineLevel="0" collapsed="false">
      <c r="A33" s="45" t="s">
        <v>159</v>
      </c>
      <c r="B33" s="45"/>
      <c r="C33" s="45"/>
      <c r="D33" s="45"/>
      <c r="E33" s="45"/>
      <c r="F33" s="45"/>
      <c r="G33" s="45"/>
      <c r="H33" s="45"/>
      <c r="I33" s="45"/>
      <c r="J33" s="45"/>
      <c r="K33" s="45"/>
      <c r="L33" s="45"/>
      <c r="M33" s="45"/>
    </row>
    <row r="34" customFormat="false" ht="15.75" hidden="false" customHeight="true" outlineLevel="0" collapsed="false">
      <c r="A34" s="46" t="s">
        <v>307</v>
      </c>
      <c r="B34" s="46"/>
      <c r="C34" s="46"/>
      <c r="D34" s="46"/>
      <c r="E34" s="46"/>
      <c r="F34" s="46"/>
      <c r="G34" s="46"/>
      <c r="H34" s="46"/>
      <c r="I34" s="46"/>
      <c r="J34" s="46"/>
      <c r="K34" s="46"/>
      <c r="L34" s="46"/>
      <c r="M34" s="46"/>
    </row>
    <row r="35" customFormat="false" ht="15.75" hidden="false" customHeight="true" outlineLevel="0" collapsed="false">
      <c r="A35" s="46" t="s">
        <v>308</v>
      </c>
      <c r="B35" s="46"/>
      <c r="C35" s="46"/>
      <c r="D35" s="46"/>
      <c r="E35" s="46"/>
      <c r="F35" s="46"/>
      <c r="G35" s="46"/>
      <c r="H35" s="46"/>
      <c r="I35" s="46"/>
      <c r="J35" s="46"/>
      <c r="K35" s="46"/>
      <c r="L35" s="46"/>
      <c r="M35" s="46"/>
    </row>
    <row r="36" customFormat="false" ht="15.75" hidden="false" customHeight="true" outlineLevel="0" collapsed="false">
      <c r="A36" s="46" t="s">
        <v>251</v>
      </c>
      <c r="B36" s="46"/>
      <c r="C36" s="46"/>
      <c r="D36" s="46"/>
      <c r="E36" s="46"/>
      <c r="F36" s="46"/>
      <c r="G36" s="46"/>
      <c r="H36" s="46"/>
      <c r="I36" s="46"/>
      <c r="J36" s="46"/>
      <c r="K36" s="46"/>
      <c r="L36" s="46"/>
      <c r="M36" s="46"/>
    </row>
    <row r="37" customFormat="false" ht="15.75" hidden="false" customHeight="true" outlineLevel="0" collapsed="false">
      <c r="A37" s="46" t="s">
        <v>309</v>
      </c>
      <c r="B37" s="46"/>
      <c r="C37" s="46"/>
      <c r="D37" s="46"/>
      <c r="E37" s="46"/>
      <c r="F37" s="46"/>
      <c r="G37" s="46"/>
      <c r="H37" s="46"/>
      <c r="I37" s="46"/>
      <c r="J37" s="46"/>
      <c r="K37" s="46"/>
      <c r="L37" s="46"/>
      <c r="M37" s="46"/>
    </row>
    <row r="38" customFormat="false" ht="15.75" hidden="false" customHeight="true" outlineLevel="0" collapsed="false">
      <c r="A38" s="46" t="s">
        <v>310</v>
      </c>
      <c r="B38" s="46"/>
      <c r="C38" s="46"/>
      <c r="D38" s="46"/>
      <c r="E38" s="46"/>
      <c r="F38" s="46"/>
      <c r="G38" s="46"/>
      <c r="H38" s="46"/>
      <c r="I38" s="46"/>
      <c r="J38" s="46"/>
      <c r="K38" s="46"/>
      <c r="L38" s="46"/>
      <c r="M38" s="46"/>
    </row>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3:M30"/>
  <mergeCells count="8">
    <mergeCell ref="A1:M1"/>
    <mergeCell ref="A2:M2"/>
    <mergeCell ref="A33:M33"/>
    <mergeCell ref="A34:M34"/>
    <mergeCell ref="A35:M35"/>
    <mergeCell ref="A36:M36"/>
    <mergeCell ref="A37:M37"/>
    <mergeCell ref="A38:M38"/>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5"/>
    <col collapsed="false" customWidth="true" hidden="false" outlineLevel="0" max="2" min="2" style="1" width="36"/>
    <col collapsed="false" customWidth="true" hidden="false" outlineLevel="0" max="3" min="3" style="1" width="22"/>
    <col collapsed="false" customWidth="true" hidden="false" outlineLevel="0" max="4" min="4" style="1" width="14"/>
    <col collapsed="false" customWidth="true" hidden="false" outlineLevel="0" max="5" min="5" style="1" width="16"/>
    <col collapsed="false" customWidth="true" hidden="false" outlineLevel="0" max="6" min="6" style="1" width="12"/>
    <col collapsed="false" customWidth="true" hidden="false" outlineLevel="0" max="7" min="7" style="1" width="10"/>
  </cols>
  <sheetData>
    <row r="1" customFormat="false" ht="39.75" hidden="false" customHeight="true" outlineLevel="0" collapsed="false">
      <c r="A1" s="47" t="s">
        <v>311</v>
      </c>
      <c r="B1" s="47"/>
      <c r="C1" s="47"/>
      <c r="D1" s="47"/>
      <c r="E1" s="47"/>
      <c r="F1" s="47"/>
      <c r="G1" s="47"/>
      <c r="H1" s="1"/>
      <c r="I1" s="1"/>
      <c r="J1" s="1"/>
      <c r="K1" s="1"/>
      <c r="L1" s="1"/>
      <c r="M1" s="1"/>
      <c r="N1" s="1"/>
      <c r="O1" s="1"/>
      <c r="P1" s="1"/>
      <c r="Q1" s="1"/>
      <c r="R1" s="1"/>
      <c r="S1" s="1"/>
      <c r="T1" s="1"/>
      <c r="U1" s="1"/>
      <c r="V1" s="1"/>
      <c r="W1" s="1"/>
      <c r="X1" s="1"/>
      <c r="Y1" s="1"/>
      <c r="Z1" s="1"/>
    </row>
    <row r="2" customFormat="false" ht="19.5" hidden="false" customHeight="true" outlineLevel="0" collapsed="false">
      <c r="A2" s="63" t="s">
        <v>312</v>
      </c>
      <c r="B2" s="63"/>
      <c r="C2" s="63"/>
      <c r="D2" s="63"/>
      <c r="E2" s="63"/>
      <c r="F2" s="63"/>
      <c r="G2" s="63"/>
      <c r="H2" s="1"/>
      <c r="I2" s="1"/>
      <c r="J2" s="1"/>
      <c r="K2" s="1"/>
      <c r="L2" s="1"/>
      <c r="M2" s="1"/>
      <c r="N2" s="1"/>
      <c r="O2" s="1"/>
      <c r="P2" s="1"/>
      <c r="Q2" s="1"/>
      <c r="R2" s="1"/>
      <c r="S2" s="1"/>
      <c r="T2" s="1"/>
      <c r="U2" s="1"/>
      <c r="V2" s="1"/>
      <c r="W2" s="1"/>
      <c r="X2" s="1"/>
      <c r="Y2" s="1"/>
      <c r="Z2" s="1"/>
    </row>
    <row r="3" customFormat="false" ht="26.25" hidden="false" customHeight="true" outlineLevel="0" collapsed="false">
      <c r="A3" s="48" t="s">
        <v>55</v>
      </c>
      <c r="B3" s="48" t="s">
        <v>56</v>
      </c>
      <c r="C3" s="48" t="s">
        <v>313</v>
      </c>
      <c r="D3" s="48" t="s">
        <v>314</v>
      </c>
      <c r="E3" s="48" t="s">
        <v>315</v>
      </c>
      <c r="F3" s="48" t="s">
        <v>316</v>
      </c>
      <c r="G3" s="48" t="s">
        <v>317</v>
      </c>
      <c r="H3" s="1"/>
      <c r="I3" s="1"/>
      <c r="J3" s="1"/>
      <c r="K3" s="1"/>
      <c r="L3" s="1"/>
      <c r="M3" s="1"/>
      <c r="N3" s="1"/>
      <c r="O3" s="1"/>
      <c r="P3" s="1"/>
      <c r="Q3" s="1"/>
      <c r="R3" s="1"/>
      <c r="S3" s="1"/>
      <c r="T3" s="1"/>
      <c r="U3" s="1"/>
      <c r="V3" s="1"/>
      <c r="W3" s="1"/>
      <c r="X3" s="1"/>
      <c r="Y3" s="1"/>
      <c r="Z3" s="1"/>
    </row>
    <row r="4" customFormat="false" ht="15" hidden="false" customHeight="true" outlineLevel="0" collapsed="false">
      <c r="A4" s="49" t="n">
        <v>1</v>
      </c>
      <c r="B4" s="50" t="s">
        <v>318</v>
      </c>
      <c r="C4" s="50" t="s">
        <v>319</v>
      </c>
      <c r="D4" s="51" t="n">
        <v>207</v>
      </c>
      <c r="E4" s="51" t="n">
        <v>319.49</v>
      </c>
      <c r="F4" s="64" t="n">
        <f aca="false">D4/2145</f>
        <v>0.0965034965034965</v>
      </c>
      <c r="G4" s="65" t="n">
        <f aca="false">IF(D4&gt;0,E4/D4,0)</f>
        <v>1.54342995169082</v>
      </c>
      <c r="H4" s="1"/>
      <c r="I4" s="1"/>
      <c r="J4" s="1"/>
      <c r="K4" s="1"/>
      <c r="L4" s="1"/>
      <c r="M4" s="1"/>
      <c r="N4" s="1"/>
      <c r="O4" s="1"/>
      <c r="P4" s="1"/>
      <c r="Q4" s="1"/>
      <c r="R4" s="1"/>
      <c r="S4" s="1"/>
      <c r="T4" s="1"/>
      <c r="U4" s="1"/>
      <c r="V4" s="1"/>
      <c r="W4" s="1"/>
      <c r="X4" s="1"/>
      <c r="Y4" s="1"/>
      <c r="Z4" s="1"/>
    </row>
    <row r="5" customFormat="false" ht="15" hidden="false" customHeight="true" outlineLevel="0" collapsed="false">
      <c r="A5" s="49" t="n">
        <v>2</v>
      </c>
      <c r="B5" s="50" t="s">
        <v>320</v>
      </c>
      <c r="C5" s="50" t="s">
        <v>321</v>
      </c>
      <c r="D5" s="51" t="n">
        <v>193</v>
      </c>
      <c r="E5" s="51" t="n">
        <v>232</v>
      </c>
      <c r="F5" s="64" t="n">
        <f aca="false">D5/2145</f>
        <v>0.08997668997669</v>
      </c>
      <c r="G5" s="65" t="n">
        <f aca="false">IF(D5&gt;0,E5/D5,0)</f>
        <v>1.2020725388601</v>
      </c>
      <c r="H5" s="1"/>
      <c r="I5" s="1"/>
      <c r="J5" s="1"/>
      <c r="K5" s="1"/>
      <c r="L5" s="1"/>
      <c r="M5" s="1"/>
      <c r="N5" s="1"/>
      <c r="O5" s="1"/>
      <c r="P5" s="1"/>
      <c r="Q5" s="1"/>
      <c r="R5" s="1"/>
      <c r="S5" s="1"/>
      <c r="T5" s="1"/>
      <c r="U5" s="1"/>
      <c r="V5" s="1"/>
      <c r="W5" s="1"/>
      <c r="X5" s="1"/>
      <c r="Y5" s="1"/>
      <c r="Z5" s="1"/>
    </row>
    <row r="6" customFormat="false" ht="15" hidden="false" customHeight="true" outlineLevel="0" collapsed="false">
      <c r="A6" s="49" t="n">
        <v>3</v>
      </c>
      <c r="B6" s="50" t="s">
        <v>322</v>
      </c>
      <c r="C6" s="50" t="s">
        <v>323</v>
      </c>
      <c r="D6" s="51" t="n">
        <v>125</v>
      </c>
      <c r="E6" s="51" t="n">
        <v>151.72</v>
      </c>
      <c r="F6" s="64" t="n">
        <f aca="false">D6/2145</f>
        <v>0.0582750582750583</v>
      </c>
      <c r="G6" s="65" t="n">
        <f aca="false">IF(D6&gt;0,E6/D6,0)</f>
        <v>1.21376</v>
      </c>
      <c r="H6" s="1"/>
      <c r="I6" s="1"/>
      <c r="J6" s="1"/>
      <c r="K6" s="1"/>
      <c r="L6" s="1"/>
      <c r="M6" s="1"/>
      <c r="N6" s="1"/>
      <c r="O6" s="1"/>
      <c r="P6" s="1"/>
      <c r="Q6" s="1"/>
      <c r="R6" s="1"/>
      <c r="S6" s="1"/>
      <c r="T6" s="1"/>
      <c r="U6" s="1"/>
      <c r="V6" s="1"/>
      <c r="W6" s="1"/>
      <c r="X6" s="1"/>
      <c r="Y6" s="1"/>
      <c r="Z6" s="1"/>
    </row>
    <row r="7" customFormat="false" ht="15" hidden="false" customHeight="true" outlineLevel="0" collapsed="false">
      <c r="A7" s="28" t="n">
        <v>4</v>
      </c>
      <c r="B7" s="29" t="s">
        <v>324</v>
      </c>
      <c r="C7" s="29" t="s">
        <v>325</v>
      </c>
      <c r="D7" s="30" t="n">
        <v>124</v>
      </c>
      <c r="E7" s="30" t="n">
        <v>259</v>
      </c>
      <c r="F7" s="64" t="n">
        <f aca="false">D7/2145</f>
        <v>0.0578088578088578</v>
      </c>
      <c r="G7" s="65" t="n">
        <f aca="false">IF(D7&gt;0,E7/D7,0)</f>
        <v>2.08870967741936</v>
      </c>
      <c r="H7" s="1"/>
      <c r="I7" s="1"/>
      <c r="J7" s="1"/>
      <c r="K7" s="1"/>
      <c r="L7" s="1"/>
      <c r="M7" s="1"/>
      <c r="N7" s="1"/>
      <c r="O7" s="1"/>
      <c r="P7" s="1"/>
      <c r="Q7" s="1"/>
      <c r="R7" s="1"/>
      <c r="S7" s="1"/>
      <c r="T7" s="1"/>
      <c r="U7" s="1"/>
      <c r="V7" s="1"/>
      <c r="W7" s="1"/>
      <c r="X7" s="1"/>
      <c r="Y7" s="1"/>
      <c r="Z7" s="1"/>
    </row>
    <row r="8" customFormat="false" ht="15" hidden="false" customHeight="true" outlineLevel="0" collapsed="false">
      <c r="A8" s="23" t="n">
        <v>5</v>
      </c>
      <c r="B8" s="24" t="s">
        <v>326</v>
      </c>
      <c r="C8" s="24" t="s">
        <v>325</v>
      </c>
      <c r="D8" s="25" t="n">
        <v>120</v>
      </c>
      <c r="E8" s="25" t="n">
        <v>285.92</v>
      </c>
      <c r="F8" s="64" t="n">
        <f aca="false">D8/2145</f>
        <v>0.0559440559440559</v>
      </c>
      <c r="G8" s="65" t="n">
        <f aca="false">IF(D8&gt;0,E8/D8,0)</f>
        <v>2.38266666666667</v>
      </c>
      <c r="H8" s="1"/>
      <c r="I8" s="1"/>
      <c r="J8" s="1"/>
      <c r="K8" s="1"/>
      <c r="L8" s="1"/>
      <c r="M8" s="1"/>
      <c r="N8" s="1"/>
      <c r="O8" s="1"/>
      <c r="P8" s="1"/>
      <c r="Q8" s="1"/>
      <c r="R8" s="1"/>
      <c r="S8" s="1"/>
      <c r="T8" s="1"/>
      <c r="U8" s="1"/>
      <c r="V8" s="1"/>
      <c r="W8" s="1"/>
      <c r="X8" s="1"/>
      <c r="Y8" s="1"/>
      <c r="Z8" s="1"/>
    </row>
    <row r="9" customFormat="false" ht="15" hidden="false" customHeight="true" outlineLevel="0" collapsed="false">
      <c r="A9" s="28" t="n">
        <v>6</v>
      </c>
      <c r="B9" s="29" t="s">
        <v>327</v>
      </c>
      <c r="C9" s="29" t="s">
        <v>319</v>
      </c>
      <c r="D9" s="30" t="n">
        <v>115</v>
      </c>
      <c r="E9" s="30" t="n">
        <v>249.58</v>
      </c>
      <c r="F9" s="64" t="n">
        <f aca="false">D9/2145</f>
        <v>0.0536130536130536</v>
      </c>
      <c r="G9" s="65" t="n">
        <f aca="false">IF(D9&gt;0,E9/D9,0)</f>
        <v>2.17026086956522</v>
      </c>
      <c r="H9" s="1"/>
      <c r="I9" s="1"/>
      <c r="J9" s="1"/>
      <c r="K9" s="1"/>
      <c r="L9" s="1"/>
      <c r="M9" s="1"/>
      <c r="N9" s="1"/>
      <c r="O9" s="1"/>
      <c r="P9" s="1"/>
      <c r="Q9" s="1"/>
      <c r="R9" s="1"/>
      <c r="S9" s="1"/>
      <c r="T9" s="1"/>
      <c r="U9" s="1"/>
      <c r="V9" s="1"/>
      <c r="W9" s="1"/>
      <c r="X9" s="1"/>
      <c r="Y9" s="1"/>
      <c r="Z9" s="1"/>
    </row>
    <row r="10" customFormat="false" ht="15" hidden="false" customHeight="true" outlineLevel="0" collapsed="false">
      <c r="A10" s="23" t="n">
        <v>7</v>
      </c>
      <c r="B10" s="24" t="s">
        <v>328</v>
      </c>
      <c r="C10" s="24" t="s">
        <v>329</v>
      </c>
      <c r="D10" s="25" t="n">
        <v>110</v>
      </c>
      <c r="E10" s="25" t="n">
        <v>67.87</v>
      </c>
      <c r="F10" s="64" t="n">
        <f aca="false">D10/2145</f>
        <v>0.0512820512820513</v>
      </c>
      <c r="G10" s="65" t="n">
        <f aca="false">IF(D10&gt;0,E10/D10,0)</f>
        <v>0.617</v>
      </c>
      <c r="H10" s="1"/>
      <c r="I10" s="1"/>
      <c r="J10" s="1"/>
      <c r="K10" s="1"/>
      <c r="L10" s="1"/>
      <c r="M10" s="1"/>
      <c r="N10" s="1"/>
      <c r="O10" s="1"/>
      <c r="P10" s="1"/>
      <c r="Q10" s="1"/>
      <c r="R10" s="1"/>
      <c r="S10" s="1"/>
      <c r="T10" s="1"/>
      <c r="U10" s="1"/>
      <c r="V10" s="1"/>
      <c r="W10" s="1"/>
      <c r="X10" s="1"/>
      <c r="Y10" s="1"/>
      <c r="Z10" s="1"/>
    </row>
    <row r="11" customFormat="false" ht="15" hidden="false" customHeight="true" outlineLevel="0" collapsed="false">
      <c r="A11" s="28" t="n">
        <v>8</v>
      </c>
      <c r="B11" s="29" t="s">
        <v>330</v>
      </c>
      <c r="C11" s="29" t="s">
        <v>319</v>
      </c>
      <c r="D11" s="30" t="n">
        <v>109</v>
      </c>
      <c r="E11" s="30" t="n">
        <v>90.25</v>
      </c>
      <c r="F11" s="64" t="n">
        <f aca="false">D11/2145</f>
        <v>0.0508158508158508</v>
      </c>
      <c r="G11" s="65" t="n">
        <f aca="false">IF(D11&gt;0,E11/D11,0)</f>
        <v>0.827981651376147</v>
      </c>
      <c r="H11" s="1"/>
      <c r="I11" s="1"/>
      <c r="J11" s="1"/>
      <c r="K11" s="1"/>
      <c r="L11" s="1"/>
      <c r="M11" s="1"/>
      <c r="N11" s="1"/>
      <c r="O11" s="1"/>
      <c r="P11" s="1"/>
      <c r="Q11" s="1"/>
      <c r="R11" s="1"/>
      <c r="S11" s="1"/>
      <c r="T11" s="1"/>
      <c r="U11" s="1"/>
      <c r="V11" s="1"/>
      <c r="W11" s="1"/>
      <c r="X11" s="1"/>
      <c r="Y11" s="1"/>
      <c r="Z11" s="1"/>
    </row>
    <row r="12" customFormat="false" ht="15" hidden="false" customHeight="true" outlineLevel="0" collapsed="false">
      <c r="A12" s="23" t="n">
        <v>9</v>
      </c>
      <c r="B12" s="24" t="s">
        <v>331</v>
      </c>
      <c r="C12" s="24" t="s">
        <v>325</v>
      </c>
      <c r="D12" s="25" t="n">
        <v>109</v>
      </c>
      <c r="E12" s="25" t="n">
        <v>233.28</v>
      </c>
      <c r="F12" s="64" t="n">
        <f aca="false">D12/2145</f>
        <v>0.0508158508158508</v>
      </c>
      <c r="G12" s="65" t="n">
        <f aca="false">IF(D12&gt;0,E12/D12,0)</f>
        <v>2.14018348623853</v>
      </c>
      <c r="H12" s="1"/>
      <c r="I12" s="1"/>
      <c r="J12" s="1"/>
      <c r="K12" s="1"/>
      <c r="L12" s="1"/>
      <c r="M12" s="1"/>
      <c r="N12" s="1"/>
      <c r="O12" s="1"/>
      <c r="P12" s="1"/>
      <c r="Q12" s="1"/>
      <c r="R12" s="1"/>
      <c r="S12" s="1"/>
      <c r="T12" s="1"/>
      <c r="U12" s="1"/>
      <c r="V12" s="1"/>
      <c r="W12" s="1"/>
      <c r="X12" s="1"/>
      <c r="Y12" s="1"/>
      <c r="Z12" s="1"/>
    </row>
    <row r="13" customFormat="false" ht="15" hidden="false" customHeight="true" outlineLevel="0" collapsed="false">
      <c r="A13" s="28" t="n">
        <v>10</v>
      </c>
      <c r="B13" s="29" t="s">
        <v>332</v>
      </c>
      <c r="C13" s="29" t="s">
        <v>325</v>
      </c>
      <c r="D13" s="30" t="n">
        <v>103</v>
      </c>
      <c r="E13" s="30" t="n">
        <v>202.5</v>
      </c>
      <c r="F13" s="64" t="n">
        <f aca="false">D13/2145</f>
        <v>0.048018648018648</v>
      </c>
      <c r="G13" s="65" t="n">
        <f aca="false">IF(D13&gt;0,E13/D13,0)</f>
        <v>1.96601941747573</v>
      </c>
      <c r="H13" s="1"/>
      <c r="I13" s="1"/>
      <c r="J13" s="1"/>
      <c r="K13" s="1"/>
      <c r="L13" s="1"/>
      <c r="M13" s="1"/>
      <c r="N13" s="1"/>
      <c r="O13" s="1"/>
      <c r="P13" s="1"/>
      <c r="Q13" s="1"/>
      <c r="R13" s="1"/>
      <c r="S13" s="1"/>
      <c r="T13" s="1"/>
      <c r="U13" s="1"/>
      <c r="V13" s="1"/>
      <c r="W13" s="1"/>
      <c r="X13" s="1"/>
      <c r="Y13" s="1"/>
      <c r="Z13" s="1"/>
    </row>
    <row r="14" customFormat="false" ht="15" hidden="false" customHeight="true" outlineLevel="0" collapsed="false">
      <c r="H14" s="1"/>
      <c r="I14" s="1"/>
      <c r="J14" s="1"/>
      <c r="K14" s="1"/>
      <c r="L14" s="1"/>
      <c r="M14" s="1"/>
      <c r="N14" s="1"/>
      <c r="O14" s="1"/>
      <c r="P14" s="1"/>
      <c r="Q14" s="1"/>
      <c r="R14" s="1"/>
      <c r="S14" s="1"/>
      <c r="T14" s="1"/>
      <c r="U14" s="1"/>
      <c r="V14" s="1"/>
      <c r="W14" s="1"/>
      <c r="X14" s="1"/>
      <c r="Y14" s="1"/>
      <c r="Z14" s="1"/>
    </row>
    <row r="15" customFormat="false" ht="15.75" hidden="false" customHeight="true" outlineLevel="0" collapsed="false">
      <c r="A15" s="45" t="s">
        <v>159</v>
      </c>
      <c r="B15" s="45"/>
      <c r="C15" s="45"/>
      <c r="D15" s="45"/>
      <c r="E15" s="45"/>
      <c r="F15" s="45"/>
      <c r="G15" s="45"/>
      <c r="H15" s="1"/>
      <c r="I15" s="1"/>
      <c r="J15" s="1"/>
      <c r="K15" s="1"/>
      <c r="L15" s="1"/>
      <c r="M15" s="1"/>
      <c r="N15" s="1"/>
      <c r="O15" s="1"/>
      <c r="P15" s="1"/>
      <c r="Q15" s="1"/>
      <c r="R15" s="1"/>
      <c r="S15" s="1"/>
      <c r="T15" s="1"/>
      <c r="U15" s="1"/>
      <c r="V15" s="1"/>
      <c r="W15" s="1"/>
      <c r="X15" s="1"/>
      <c r="Y15" s="1"/>
      <c r="Z15" s="1"/>
    </row>
    <row r="16" customFormat="false" ht="26.25" hidden="false" customHeight="true" outlineLevel="0" collapsed="false">
      <c r="A16" s="66" t="s">
        <v>333</v>
      </c>
      <c r="B16" s="66"/>
      <c r="C16" s="66"/>
      <c r="D16" s="66"/>
      <c r="E16" s="66"/>
      <c r="F16" s="66"/>
      <c r="G16" s="66"/>
      <c r="H16" s="1"/>
      <c r="I16" s="1"/>
      <c r="J16" s="1"/>
      <c r="K16" s="1"/>
      <c r="L16" s="1"/>
      <c r="M16" s="1"/>
      <c r="N16" s="1"/>
      <c r="O16" s="1"/>
      <c r="P16" s="1"/>
      <c r="Q16" s="1"/>
      <c r="R16" s="1"/>
      <c r="S16" s="1"/>
      <c r="T16" s="1"/>
      <c r="U16" s="1"/>
      <c r="V16" s="1"/>
      <c r="W16" s="1"/>
      <c r="X16" s="1"/>
      <c r="Y16" s="1"/>
      <c r="Z16" s="1"/>
    </row>
    <row r="17" customFormat="false" ht="15.75" hidden="false" customHeight="true" outlineLevel="0" collapsed="false">
      <c r="A17" s="46" t="s">
        <v>334</v>
      </c>
      <c r="B17" s="46"/>
      <c r="C17" s="46"/>
      <c r="D17" s="46"/>
      <c r="E17" s="46"/>
      <c r="F17" s="46"/>
      <c r="G17" s="46"/>
      <c r="H17" s="1"/>
      <c r="I17" s="1"/>
      <c r="J17" s="1"/>
      <c r="K17" s="1"/>
      <c r="L17" s="1"/>
      <c r="M17" s="1"/>
      <c r="N17" s="1"/>
      <c r="O17" s="1"/>
      <c r="P17" s="1"/>
      <c r="Q17" s="1"/>
      <c r="R17" s="1"/>
      <c r="S17" s="1"/>
      <c r="T17" s="1"/>
      <c r="U17" s="1"/>
      <c r="V17" s="1"/>
      <c r="W17" s="1"/>
      <c r="X17" s="1"/>
      <c r="Y17" s="1"/>
      <c r="Z17" s="1"/>
    </row>
    <row r="18" customFormat="false" ht="15.75" hidden="false" customHeight="true" outlineLevel="0" collapsed="false">
      <c r="A18" s="46" t="s">
        <v>335</v>
      </c>
      <c r="B18" s="46"/>
      <c r="C18" s="46"/>
      <c r="D18" s="46"/>
      <c r="E18" s="46"/>
      <c r="F18" s="46"/>
      <c r="G18" s="46"/>
      <c r="H18" s="1"/>
      <c r="I18" s="1"/>
      <c r="J18" s="1"/>
      <c r="K18" s="1"/>
      <c r="L18" s="1"/>
      <c r="M18" s="1"/>
      <c r="N18" s="1"/>
      <c r="O18" s="1"/>
      <c r="P18" s="1"/>
      <c r="Q18" s="1"/>
      <c r="R18" s="1"/>
      <c r="S18" s="1"/>
      <c r="T18" s="1"/>
      <c r="U18" s="1"/>
      <c r="V18" s="1"/>
      <c r="W18" s="1"/>
      <c r="X18" s="1"/>
      <c r="Y18" s="1"/>
      <c r="Z18" s="1"/>
    </row>
    <row r="19" customFormat="false" ht="15.75" hidden="false" customHeight="true" outlineLevel="0" collapsed="false">
      <c r="A19" s="46" t="s">
        <v>336</v>
      </c>
      <c r="B19" s="46"/>
      <c r="C19" s="46"/>
      <c r="D19" s="46"/>
      <c r="E19" s="46"/>
      <c r="F19" s="46"/>
      <c r="G19" s="46"/>
      <c r="H19" s="1"/>
      <c r="I19" s="1"/>
      <c r="J19" s="1"/>
      <c r="K19" s="1"/>
      <c r="L19" s="1"/>
      <c r="M19" s="1"/>
      <c r="N19" s="1"/>
      <c r="O19" s="1"/>
      <c r="P19" s="1"/>
      <c r="Q19" s="1"/>
      <c r="R19" s="1"/>
      <c r="S19" s="1"/>
      <c r="T19" s="1"/>
      <c r="U19" s="1"/>
      <c r="V19" s="1"/>
      <c r="W19" s="1"/>
      <c r="X19" s="1"/>
      <c r="Y19" s="1"/>
      <c r="Z19" s="1"/>
    </row>
    <row r="20" customFormat="false" ht="15.75" hidden="false" customHeight="true" outlineLevel="0" collapsed="false">
      <c r="A20" s="46" t="s">
        <v>337</v>
      </c>
      <c r="B20" s="46"/>
      <c r="C20" s="46"/>
      <c r="D20" s="46"/>
      <c r="E20" s="46"/>
      <c r="F20" s="46"/>
      <c r="G20" s="46"/>
      <c r="H20" s="1"/>
      <c r="I20" s="1"/>
      <c r="J20" s="1"/>
      <c r="K20" s="1"/>
      <c r="L20" s="1"/>
      <c r="M20" s="1"/>
      <c r="N20" s="1"/>
      <c r="O20" s="1"/>
      <c r="P20" s="1"/>
      <c r="Q20" s="1"/>
      <c r="R20" s="1"/>
      <c r="S20" s="1"/>
      <c r="T20" s="1"/>
      <c r="U20" s="1"/>
      <c r="V20" s="1"/>
      <c r="W20" s="1"/>
      <c r="X20" s="1"/>
      <c r="Y20" s="1"/>
      <c r="Z20" s="1"/>
    </row>
    <row r="21" customFormat="false" ht="15.75" hidden="false" customHeight="true" outlineLevel="0" collapsed="false">
      <c r="A21" s="46" t="s">
        <v>338</v>
      </c>
      <c r="B21" s="46"/>
      <c r="C21" s="46"/>
      <c r="D21" s="46"/>
      <c r="E21" s="46"/>
      <c r="F21" s="46"/>
      <c r="G21" s="46"/>
      <c r="H21" s="1"/>
      <c r="I21" s="1"/>
      <c r="J21" s="1"/>
      <c r="K21" s="1"/>
      <c r="L21" s="1"/>
      <c r="M21" s="1"/>
      <c r="N21" s="1"/>
      <c r="O21" s="1"/>
      <c r="P21" s="1"/>
      <c r="Q21" s="1"/>
      <c r="R21" s="1"/>
      <c r="S21" s="1"/>
      <c r="T21" s="1"/>
      <c r="U21" s="1"/>
      <c r="V21" s="1"/>
      <c r="W21" s="1"/>
      <c r="X21" s="1"/>
      <c r="Y21" s="1"/>
      <c r="Z21" s="1"/>
    </row>
    <row r="22" customFormat="false" ht="26.25" hidden="false" customHeight="true" outlineLevel="0" collapsed="false">
      <c r="A22" s="67" t="s">
        <v>339</v>
      </c>
      <c r="H22" s="1"/>
      <c r="I22" s="1"/>
      <c r="J22" s="1"/>
      <c r="K22" s="1"/>
      <c r="L22" s="1"/>
      <c r="M22" s="1"/>
      <c r="N22" s="1"/>
      <c r="O22" s="1"/>
      <c r="P22" s="1"/>
      <c r="Q22" s="1"/>
      <c r="R22" s="1"/>
      <c r="S22" s="1"/>
      <c r="T22" s="1"/>
      <c r="U22" s="1"/>
      <c r="V22" s="1"/>
      <c r="W22" s="1"/>
      <c r="X22" s="1"/>
      <c r="Y22" s="1"/>
      <c r="Z22" s="1"/>
    </row>
    <row r="23" customFormat="false" ht="15.75" hidden="false" customHeight="true" outlineLevel="0" collapsed="false">
      <c r="H23" s="1"/>
      <c r="I23" s="1"/>
      <c r="J23" s="1"/>
      <c r="K23" s="1"/>
      <c r="L23" s="1"/>
      <c r="M23" s="1"/>
      <c r="N23" s="1"/>
      <c r="O23" s="1"/>
      <c r="P23" s="1"/>
      <c r="Q23" s="1"/>
      <c r="R23" s="1"/>
      <c r="S23" s="1"/>
      <c r="T23" s="1"/>
      <c r="U23" s="1"/>
      <c r="V23" s="1"/>
      <c r="W23" s="1"/>
      <c r="X23" s="1"/>
      <c r="Y23" s="1"/>
      <c r="Z23" s="1"/>
    </row>
    <row r="24" customFormat="false" ht="15.75" hidden="false" customHeight="true" outlineLevel="0" collapsed="false">
      <c r="H24" s="1"/>
      <c r="I24" s="1"/>
      <c r="J24" s="1"/>
      <c r="K24" s="1"/>
      <c r="L24" s="1"/>
      <c r="M24" s="1"/>
      <c r="N24" s="1"/>
      <c r="O24" s="1"/>
      <c r="P24" s="1"/>
      <c r="Q24" s="1"/>
      <c r="R24" s="1"/>
      <c r="S24" s="1"/>
      <c r="T24" s="1"/>
      <c r="U24" s="1"/>
      <c r="V24" s="1"/>
      <c r="W24" s="1"/>
      <c r="X24" s="1"/>
      <c r="Y24" s="1"/>
      <c r="Z24" s="1"/>
    </row>
    <row r="25" customFormat="false" ht="15.75" hidden="false" customHeight="true" outlineLevel="0" collapsed="false">
      <c r="H25" s="1"/>
      <c r="I25" s="1"/>
      <c r="J25" s="1"/>
      <c r="K25" s="1"/>
      <c r="L25" s="1"/>
      <c r="M25" s="1"/>
      <c r="N25" s="1"/>
      <c r="O25" s="1"/>
      <c r="P25" s="1"/>
      <c r="Q25" s="1"/>
      <c r="R25" s="1"/>
      <c r="S25" s="1"/>
      <c r="T25" s="1"/>
      <c r="U25" s="1"/>
      <c r="V25" s="1"/>
      <c r="W25" s="1"/>
      <c r="X25" s="1"/>
      <c r="Y25" s="1"/>
      <c r="Z25" s="1"/>
    </row>
    <row r="26" customFormat="false" ht="15.75" hidden="false" customHeight="true" outlineLevel="0" collapsed="false">
      <c r="H26" s="1"/>
      <c r="I26" s="1"/>
      <c r="J26" s="1"/>
      <c r="K26" s="1"/>
      <c r="L26" s="1"/>
      <c r="M26" s="1"/>
      <c r="N26" s="1"/>
      <c r="O26" s="1"/>
      <c r="P26" s="1"/>
      <c r="Q26" s="1"/>
      <c r="R26" s="1"/>
      <c r="S26" s="1"/>
      <c r="T26" s="1"/>
      <c r="U26" s="1"/>
      <c r="V26" s="1"/>
      <c r="W26" s="1"/>
      <c r="X26" s="1"/>
      <c r="Y26" s="1"/>
      <c r="Z26" s="1"/>
    </row>
    <row r="27" customFormat="false" ht="15.75" hidden="false" customHeight="true" outlineLevel="0" collapsed="false">
      <c r="H27" s="1"/>
      <c r="I27" s="1"/>
      <c r="J27" s="1"/>
      <c r="K27" s="1"/>
      <c r="L27" s="1"/>
      <c r="M27" s="1"/>
      <c r="N27" s="1"/>
      <c r="O27" s="1"/>
      <c r="P27" s="1"/>
      <c r="Q27" s="1"/>
      <c r="R27" s="1"/>
      <c r="S27" s="1"/>
      <c r="T27" s="1"/>
      <c r="U27" s="1"/>
      <c r="V27" s="1"/>
      <c r="W27" s="1"/>
      <c r="X27" s="1"/>
      <c r="Y27" s="1"/>
      <c r="Z27" s="1"/>
    </row>
    <row r="28" customFormat="false" ht="15.75" hidden="false" customHeight="true" outlineLevel="0" collapsed="false">
      <c r="H28" s="1"/>
      <c r="I28" s="1"/>
      <c r="J28" s="1"/>
      <c r="K28" s="1"/>
      <c r="L28" s="1"/>
      <c r="M28" s="1"/>
      <c r="N28" s="1"/>
      <c r="O28" s="1"/>
      <c r="P28" s="1"/>
      <c r="Q28" s="1"/>
      <c r="R28" s="1"/>
      <c r="S28" s="1"/>
      <c r="T28" s="1"/>
      <c r="U28" s="1"/>
      <c r="V28" s="1"/>
      <c r="W28" s="1"/>
      <c r="X28" s="1"/>
      <c r="Y28" s="1"/>
      <c r="Z28" s="1"/>
    </row>
    <row r="29" customFormat="false" ht="15.75" hidden="false" customHeight="true" outlineLevel="0" collapsed="false">
      <c r="H29" s="1"/>
      <c r="I29" s="1"/>
      <c r="J29" s="1"/>
      <c r="K29" s="1"/>
      <c r="L29" s="1"/>
      <c r="M29" s="1"/>
      <c r="N29" s="1"/>
      <c r="O29" s="1"/>
      <c r="P29" s="1"/>
      <c r="Q29" s="1"/>
      <c r="R29" s="1"/>
      <c r="S29" s="1"/>
      <c r="T29" s="1"/>
      <c r="U29" s="1"/>
      <c r="V29" s="1"/>
      <c r="W29" s="1"/>
      <c r="X29" s="1"/>
      <c r="Y29" s="1"/>
      <c r="Z29" s="1"/>
    </row>
    <row r="30" customFormat="false" ht="15.75" hidden="false" customHeight="true" outlineLevel="0" collapsed="false">
      <c r="H30" s="1"/>
      <c r="I30" s="1"/>
      <c r="J30" s="1"/>
      <c r="K30" s="1"/>
      <c r="L30" s="1"/>
      <c r="M30" s="1"/>
      <c r="N30" s="1"/>
      <c r="O30" s="1"/>
      <c r="P30" s="1"/>
      <c r="Q30" s="1"/>
      <c r="R30" s="1"/>
      <c r="S30" s="1"/>
      <c r="T30" s="1"/>
      <c r="U30" s="1"/>
      <c r="V30" s="1"/>
      <c r="W30" s="1"/>
      <c r="X30" s="1"/>
      <c r="Y30" s="1"/>
      <c r="Z30" s="1"/>
    </row>
    <row r="31" customFormat="false" ht="15.75" hidden="false" customHeight="true" outlineLevel="0" collapsed="false">
      <c r="H31" s="1"/>
      <c r="I31" s="1"/>
      <c r="J31" s="1"/>
      <c r="K31" s="1"/>
      <c r="L31" s="1"/>
      <c r="M31" s="1"/>
      <c r="N31" s="1"/>
      <c r="O31" s="1"/>
      <c r="P31" s="1"/>
      <c r="Q31" s="1"/>
      <c r="R31" s="1"/>
      <c r="S31" s="1"/>
      <c r="T31" s="1"/>
      <c r="U31" s="1"/>
      <c r="V31" s="1"/>
      <c r="W31" s="1"/>
      <c r="X31" s="1"/>
      <c r="Y31" s="1"/>
      <c r="Z31" s="1"/>
    </row>
    <row r="32" customFormat="false" ht="15.75" hidden="false" customHeight="true" outlineLevel="0" collapsed="false">
      <c r="H32" s="1"/>
      <c r="I32" s="1"/>
      <c r="J32" s="1"/>
      <c r="K32" s="1"/>
      <c r="L32" s="1"/>
      <c r="M32" s="1"/>
      <c r="N32" s="1"/>
      <c r="O32" s="1"/>
      <c r="P32" s="1"/>
      <c r="Q32" s="1"/>
      <c r="R32" s="1"/>
      <c r="S32" s="1"/>
      <c r="T32" s="1"/>
      <c r="U32" s="1"/>
      <c r="V32" s="1"/>
      <c r="W32" s="1"/>
      <c r="X32" s="1"/>
      <c r="Y32" s="1"/>
      <c r="Z32" s="1"/>
    </row>
    <row r="33" customFormat="false" ht="15.75" hidden="false" customHeight="true" outlineLevel="0" collapsed="false">
      <c r="H33" s="1"/>
      <c r="I33" s="1"/>
      <c r="J33" s="1"/>
      <c r="K33" s="1"/>
      <c r="L33" s="1"/>
      <c r="M33" s="1"/>
      <c r="N33" s="1"/>
      <c r="O33" s="1"/>
      <c r="P33" s="1"/>
      <c r="Q33" s="1"/>
      <c r="R33" s="1"/>
      <c r="S33" s="1"/>
      <c r="T33" s="1"/>
      <c r="U33" s="1"/>
      <c r="V33" s="1"/>
      <c r="W33" s="1"/>
      <c r="X33" s="1"/>
      <c r="Y33" s="1"/>
      <c r="Z33" s="1"/>
    </row>
    <row r="34" customFormat="false" ht="15.75" hidden="false" customHeight="true" outlineLevel="0" collapsed="false">
      <c r="H34" s="1"/>
      <c r="I34" s="1"/>
      <c r="J34" s="1"/>
      <c r="K34" s="1"/>
      <c r="L34" s="1"/>
      <c r="M34" s="1"/>
      <c r="N34" s="1"/>
      <c r="O34" s="1"/>
      <c r="P34" s="1"/>
      <c r="Q34" s="1"/>
      <c r="R34" s="1"/>
      <c r="S34" s="1"/>
      <c r="T34" s="1"/>
      <c r="U34" s="1"/>
      <c r="V34" s="1"/>
      <c r="W34" s="1"/>
      <c r="X34" s="1"/>
      <c r="Y34" s="1"/>
      <c r="Z34" s="1"/>
    </row>
    <row r="35" customFormat="false" ht="15.75" hidden="false" customHeight="true" outlineLevel="0" collapsed="false">
      <c r="H35" s="1"/>
      <c r="I35" s="1"/>
      <c r="J35" s="1"/>
      <c r="K35" s="1"/>
      <c r="L35" s="1"/>
      <c r="M35" s="1"/>
      <c r="N35" s="1"/>
      <c r="O35" s="1"/>
      <c r="P35" s="1"/>
      <c r="Q35" s="1"/>
      <c r="R35" s="1"/>
      <c r="S35" s="1"/>
      <c r="T35" s="1"/>
      <c r="U35" s="1"/>
      <c r="V35" s="1"/>
      <c r="W35" s="1"/>
      <c r="X35" s="1"/>
      <c r="Y35" s="1"/>
      <c r="Z35" s="1"/>
    </row>
    <row r="36" customFormat="false" ht="15.75" hidden="false" customHeight="true" outlineLevel="0" collapsed="false">
      <c r="H36" s="1"/>
      <c r="I36" s="1"/>
      <c r="J36" s="1"/>
      <c r="K36" s="1"/>
      <c r="L36" s="1"/>
      <c r="M36" s="1"/>
      <c r="N36" s="1"/>
      <c r="O36" s="1"/>
      <c r="P36" s="1"/>
      <c r="Q36" s="1"/>
      <c r="R36" s="1"/>
      <c r="S36" s="1"/>
      <c r="T36" s="1"/>
      <c r="U36" s="1"/>
      <c r="V36" s="1"/>
      <c r="W36" s="1"/>
      <c r="X36" s="1"/>
      <c r="Y36" s="1"/>
      <c r="Z36" s="1"/>
    </row>
    <row r="37" customFormat="false" ht="15.75" hidden="false" customHeight="true" outlineLevel="0" collapsed="false">
      <c r="H37" s="1"/>
      <c r="I37" s="1"/>
      <c r="J37" s="1"/>
      <c r="K37" s="1"/>
      <c r="L37" s="1"/>
      <c r="M37" s="1"/>
      <c r="N37" s="1"/>
      <c r="O37" s="1"/>
      <c r="P37" s="1"/>
      <c r="Q37" s="1"/>
      <c r="R37" s="1"/>
      <c r="S37" s="1"/>
      <c r="T37" s="1"/>
      <c r="U37" s="1"/>
      <c r="V37" s="1"/>
      <c r="W37" s="1"/>
      <c r="X37" s="1"/>
      <c r="Y37" s="1"/>
      <c r="Z37" s="1"/>
    </row>
    <row r="38" customFormat="false" ht="15.75" hidden="false" customHeight="true" outlineLevel="0" collapsed="false">
      <c r="H38" s="1"/>
      <c r="I38" s="1"/>
      <c r="J38" s="1"/>
      <c r="K38" s="1"/>
      <c r="L38" s="1"/>
      <c r="M38" s="1"/>
      <c r="N38" s="1"/>
      <c r="O38" s="1"/>
      <c r="P38" s="1"/>
      <c r="Q38" s="1"/>
      <c r="R38" s="1"/>
      <c r="S38" s="1"/>
      <c r="T38" s="1"/>
      <c r="U38" s="1"/>
      <c r="V38" s="1"/>
      <c r="W38" s="1"/>
      <c r="X38" s="1"/>
      <c r="Y38" s="1"/>
      <c r="Z38" s="1"/>
    </row>
    <row r="39" customFormat="false" ht="15.75" hidden="false" customHeight="true" outlineLevel="0" collapsed="false">
      <c r="H39" s="1"/>
      <c r="I39" s="1"/>
      <c r="J39" s="1"/>
      <c r="K39" s="1"/>
      <c r="L39" s="1"/>
      <c r="M39" s="1"/>
      <c r="N39" s="1"/>
      <c r="O39" s="1"/>
      <c r="P39" s="1"/>
      <c r="Q39" s="1"/>
      <c r="R39" s="1"/>
      <c r="S39" s="1"/>
      <c r="T39" s="1"/>
      <c r="U39" s="1"/>
      <c r="V39" s="1"/>
      <c r="W39" s="1"/>
      <c r="X39" s="1"/>
      <c r="Y39" s="1"/>
      <c r="Z39" s="1"/>
    </row>
    <row r="40" customFormat="false" ht="15.75" hidden="false" customHeight="true" outlineLevel="0" collapsed="false">
      <c r="H40" s="1"/>
      <c r="I40" s="1"/>
      <c r="J40" s="1"/>
      <c r="K40" s="1"/>
      <c r="L40" s="1"/>
      <c r="M40" s="1"/>
      <c r="N40" s="1"/>
      <c r="O40" s="1"/>
      <c r="P40" s="1"/>
      <c r="Q40" s="1"/>
      <c r="R40" s="1"/>
      <c r="S40" s="1"/>
      <c r="T40" s="1"/>
      <c r="U40" s="1"/>
      <c r="V40" s="1"/>
      <c r="W40" s="1"/>
      <c r="X40" s="1"/>
      <c r="Y40" s="1"/>
      <c r="Z40" s="1"/>
    </row>
    <row r="41" customFormat="false" ht="15.75" hidden="false" customHeight="true" outlineLevel="0" collapsed="false">
      <c r="H41" s="1"/>
      <c r="I41" s="1"/>
      <c r="J41" s="1"/>
      <c r="K41" s="1"/>
      <c r="L41" s="1"/>
      <c r="M41" s="1"/>
      <c r="N41" s="1"/>
      <c r="O41" s="1"/>
      <c r="P41" s="1"/>
      <c r="Q41" s="1"/>
      <c r="R41" s="1"/>
      <c r="S41" s="1"/>
      <c r="T41" s="1"/>
      <c r="U41" s="1"/>
      <c r="V41" s="1"/>
      <c r="W41" s="1"/>
      <c r="X41" s="1"/>
      <c r="Y41" s="1"/>
      <c r="Z41" s="1"/>
    </row>
    <row r="42" customFormat="false" ht="15.75" hidden="false" customHeight="true" outlineLevel="0" collapsed="false">
      <c r="H42" s="1"/>
      <c r="I42" s="1"/>
      <c r="J42" s="1"/>
      <c r="K42" s="1"/>
      <c r="L42" s="1"/>
      <c r="M42" s="1"/>
      <c r="N42" s="1"/>
      <c r="O42" s="1"/>
      <c r="P42" s="1"/>
      <c r="Q42" s="1"/>
      <c r="R42" s="1"/>
      <c r="S42" s="1"/>
      <c r="T42" s="1"/>
      <c r="U42" s="1"/>
      <c r="V42" s="1"/>
      <c r="W42" s="1"/>
      <c r="X42" s="1"/>
      <c r="Y42" s="1"/>
      <c r="Z42" s="1"/>
    </row>
    <row r="43" customFormat="false" ht="15.75" hidden="false" customHeight="true" outlineLevel="0" collapsed="false">
      <c r="H43" s="1"/>
      <c r="I43" s="1"/>
      <c r="J43" s="1"/>
      <c r="K43" s="1"/>
      <c r="L43" s="1"/>
      <c r="M43" s="1"/>
      <c r="N43" s="1"/>
      <c r="O43" s="1"/>
      <c r="P43" s="1"/>
      <c r="Q43" s="1"/>
      <c r="R43" s="1"/>
      <c r="S43" s="1"/>
      <c r="T43" s="1"/>
      <c r="U43" s="1"/>
      <c r="V43" s="1"/>
      <c r="W43" s="1"/>
      <c r="X43" s="1"/>
      <c r="Y43" s="1"/>
      <c r="Z43" s="1"/>
    </row>
    <row r="44" customFormat="false" ht="15.75" hidden="false" customHeight="true" outlineLevel="0" collapsed="false">
      <c r="H44" s="1"/>
      <c r="I44" s="1"/>
      <c r="J44" s="1"/>
      <c r="K44" s="1"/>
      <c r="L44" s="1"/>
      <c r="M44" s="1"/>
      <c r="N44" s="1"/>
      <c r="O44" s="1"/>
      <c r="P44" s="1"/>
      <c r="Q44" s="1"/>
      <c r="R44" s="1"/>
      <c r="S44" s="1"/>
      <c r="T44" s="1"/>
      <c r="U44" s="1"/>
      <c r="V44" s="1"/>
      <c r="W44" s="1"/>
      <c r="X44" s="1"/>
      <c r="Y44" s="1"/>
      <c r="Z44" s="1"/>
    </row>
    <row r="45" customFormat="false" ht="15.75" hidden="false" customHeight="true" outlineLevel="0" collapsed="false">
      <c r="H45" s="1"/>
      <c r="I45" s="1"/>
      <c r="J45" s="1"/>
      <c r="K45" s="1"/>
      <c r="L45" s="1"/>
      <c r="M45" s="1"/>
      <c r="N45" s="1"/>
      <c r="O45" s="1"/>
      <c r="P45" s="1"/>
      <c r="Q45" s="1"/>
      <c r="R45" s="1"/>
      <c r="S45" s="1"/>
      <c r="T45" s="1"/>
      <c r="U45" s="1"/>
      <c r="V45" s="1"/>
      <c r="W45" s="1"/>
      <c r="X45" s="1"/>
      <c r="Y45" s="1"/>
      <c r="Z45" s="1"/>
    </row>
    <row r="46" customFormat="false" ht="15.75" hidden="false" customHeight="true" outlineLevel="0" collapsed="false">
      <c r="H46" s="1"/>
      <c r="I46" s="1"/>
      <c r="J46" s="1"/>
      <c r="K46" s="1"/>
      <c r="L46" s="1"/>
      <c r="M46" s="1"/>
      <c r="N46" s="1"/>
      <c r="O46" s="1"/>
      <c r="P46" s="1"/>
      <c r="Q46" s="1"/>
      <c r="R46" s="1"/>
      <c r="S46" s="1"/>
      <c r="T46" s="1"/>
      <c r="U46" s="1"/>
      <c r="V46" s="1"/>
      <c r="W46" s="1"/>
      <c r="X46" s="1"/>
      <c r="Y46" s="1"/>
      <c r="Z46" s="1"/>
    </row>
    <row r="47" customFormat="false" ht="15.75" hidden="false" customHeight="true" outlineLevel="0" collapsed="false">
      <c r="H47" s="1"/>
      <c r="I47" s="1"/>
      <c r="J47" s="1"/>
      <c r="K47" s="1"/>
      <c r="L47" s="1"/>
      <c r="M47" s="1"/>
      <c r="N47" s="1"/>
      <c r="O47" s="1"/>
      <c r="P47" s="1"/>
      <c r="Q47" s="1"/>
      <c r="R47" s="1"/>
      <c r="S47" s="1"/>
      <c r="T47" s="1"/>
      <c r="U47" s="1"/>
      <c r="V47" s="1"/>
      <c r="W47" s="1"/>
      <c r="X47" s="1"/>
      <c r="Y47" s="1"/>
      <c r="Z47" s="1"/>
    </row>
    <row r="48" customFormat="false" ht="15.75" hidden="false" customHeight="true" outlineLevel="0" collapsed="false">
      <c r="H48" s="1"/>
      <c r="I48" s="1"/>
      <c r="J48" s="1"/>
      <c r="K48" s="1"/>
      <c r="L48" s="1"/>
      <c r="M48" s="1"/>
      <c r="N48" s="1"/>
      <c r="O48" s="1"/>
      <c r="P48" s="1"/>
      <c r="Q48" s="1"/>
      <c r="R48" s="1"/>
      <c r="S48" s="1"/>
      <c r="T48" s="1"/>
      <c r="U48" s="1"/>
      <c r="V48" s="1"/>
      <c r="W48" s="1"/>
      <c r="X48" s="1"/>
      <c r="Y48" s="1"/>
      <c r="Z48" s="1"/>
    </row>
    <row r="49" customFormat="false" ht="15.75" hidden="false" customHeight="true" outlineLevel="0" collapsed="false">
      <c r="H49" s="1"/>
      <c r="I49" s="1"/>
      <c r="J49" s="1"/>
      <c r="K49" s="1"/>
      <c r="L49" s="1"/>
      <c r="M49" s="1"/>
      <c r="N49" s="1"/>
      <c r="O49" s="1"/>
      <c r="P49" s="1"/>
      <c r="Q49" s="1"/>
      <c r="R49" s="1"/>
      <c r="S49" s="1"/>
      <c r="T49" s="1"/>
      <c r="U49" s="1"/>
      <c r="V49" s="1"/>
      <c r="W49" s="1"/>
      <c r="X49" s="1"/>
      <c r="Y49" s="1"/>
      <c r="Z49" s="1"/>
    </row>
    <row r="50" customFormat="false" ht="15.75" hidden="false" customHeight="true" outlineLevel="0" collapsed="false">
      <c r="H50" s="1"/>
      <c r="I50" s="1"/>
      <c r="J50" s="1"/>
      <c r="K50" s="1"/>
      <c r="L50" s="1"/>
      <c r="M50" s="1"/>
      <c r="N50" s="1"/>
      <c r="O50" s="1"/>
      <c r="P50" s="1"/>
      <c r="Q50" s="1"/>
      <c r="R50" s="1"/>
      <c r="S50" s="1"/>
      <c r="T50" s="1"/>
      <c r="U50" s="1"/>
      <c r="V50" s="1"/>
      <c r="W50" s="1"/>
      <c r="X50" s="1"/>
      <c r="Y50" s="1"/>
      <c r="Z50" s="1"/>
    </row>
    <row r="51" customFormat="false" ht="15.75" hidden="false" customHeight="true" outlineLevel="0" collapsed="false">
      <c r="H51" s="1"/>
      <c r="I51" s="1"/>
      <c r="J51" s="1"/>
      <c r="K51" s="1"/>
      <c r="L51" s="1"/>
      <c r="M51" s="1"/>
      <c r="N51" s="1"/>
      <c r="O51" s="1"/>
      <c r="P51" s="1"/>
      <c r="Q51" s="1"/>
      <c r="R51" s="1"/>
      <c r="S51" s="1"/>
      <c r="T51" s="1"/>
      <c r="U51" s="1"/>
      <c r="V51" s="1"/>
      <c r="W51" s="1"/>
      <c r="X51" s="1"/>
      <c r="Y51" s="1"/>
      <c r="Z51" s="1"/>
    </row>
    <row r="52" customFormat="false" ht="15.75" hidden="false" customHeight="true" outlineLevel="0" collapsed="false">
      <c r="H52" s="1"/>
      <c r="I52" s="1"/>
      <c r="J52" s="1"/>
      <c r="K52" s="1"/>
      <c r="L52" s="1"/>
      <c r="M52" s="1"/>
      <c r="N52" s="1"/>
      <c r="O52" s="1"/>
      <c r="P52" s="1"/>
      <c r="Q52" s="1"/>
      <c r="R52" s="1"/>
      <c r="S52" s="1"/>
      <c r="T52" s="1"/>
      <c r="U52" s="1"/>
      <c r="V52" s="1"/>
      <c r="W52" s="1"/>
      <c r="X52" s="1"/>
      <c r="Y52" s="1"/>
      <c r="Z52" s="1"/>
    </row>
    <row r="53" customFormat="false" ht="15.75" hidden="false" customHeight="true" outlineLevel="0" collapsed="false">
      <c r="H53" s="1"/>
      <c r="I53" s="1"/>
      <c r="J53" s="1"/>
      <c r="K53" s="1"/>
      <c r="L53" s="1"/>
      <c r="M53" s="1"/>
      <c r="N53" s="1"/>
      <c r="O53" s="1"/>
      <c r="P53" s="1"/>
      <c r="Q53" s="1"/>
      <c r="R53" s="1"/>
      <c r="S53" s="1"/>
      <c r="T53" s="1"/>
      <c r="U53" s="1"/>
      <c r="V53" s="1"/>
      <c r="W53" s="1"/>
      <c r="X53" s="1"/>
      <c r="Y53" s="1"/>
      <c r="Z53" s="1"/>
    </row>
    <row r="54" customFormat="false" ht="15.75" hidden="false" customHeight="true" outlineLevel="0" collapsed="false">
      <c r="H54" s="1"/>
      <c r="I54" s="1"/>
      <c r="J54" s="1"/>
      <c r="K54" s="1"/>
      <c r="L54" s="1"/>
      <c r="M54" s="1"/>
      <c r="N54" s="1"/>
      <c r="O54" s="1"/>
      <c r="P54" s="1"/>
      <c r="Q54" s="1"/>
      <c r="R54" s="1"/>
      <c r="S54" s="1"/>
      <c r="T54" s="1"/>
      <c r="U54" s="1"/>
      <c r="V54" s="1"/>
      <c r="W54" s="1"/>
      <c r="X54" s="1"/>
      <c r="Y54" s="1"/>
      <c r="Z54" s="1"/>
    </row>
    <row r="55" customFormat="false" ht="15.75" hidden="false" customHeight="true" outlineLevel="0" collapsed="false">
      <c r="H55" s="1"/>
      <c r="I55" s="1"/>
      <c r="J55" s="1"/>
      <c r="K55" s="1"/>
      <c r="L55" s="1"/>
      <c r="M55" s="1"/>
      <c r="N55" s="1"/>
      <c r="O55" s="1"/>
      <c r="P55" s="1"/>
      <c r="Q55" s="1"/>
      <c r="R55" s="1"/>
      <c r="S55" s="1"/>
      <c r="T55" s="1"/>
      <c r="U55" s="1"/>
      <c r="V55" s="1"/>
      <c r="W55" s="1"/>
      <c r="X55" s="1"/>
      <c r="Y55" s="1"/>
      <c r="Z55" s="1"/>
    </row>
    <row r="56" customFormat="false" ht="15.75" hidden="false" customHeight="true" outlineLevel="0" collapsed="false">
      <c r="H56" s="1"/>
      <c r="I56" s="1"/>
      <c r="J56" s="1"/>
      <c r="K56" s="1"/>
      <c r="L56" s="1"/>
      <c r="M56" s="1"/>
      <c r="N56" s="1"/>
      <c r="O56" s="1"/>
      <c r="P56" s="1"/>
      <c r="Q56" s="1"/>
      <c r="R56" s="1"/>
      <c r="S56" s="1"/>
      <c r="T56" s="1"/>
      <c r="U56" s="1"/>
      <c r="V56" s="1"/>
      <c r="W56" s="1"/>
      <c r="X56" s="1"/>
      <c r="Y56" s="1"/>
      <c r="Z56" s="1"/>
    </row>
    <row r="57" customFormat="false" ht="15.75" hidden="false" customHeight="true" outlineLevel="0" collapsed="false">
      <c r="H57" s="1"/>
      <c r="I57" s="1"/>
      <c r="J57" s="1"/>
      <c r="K57" s="1"/>
      <c r="L57" s="1"/>
      <c r="M57" s="1"/>
      <c r="N57" s="1"/>
      <c r="O57" s="1"/>
      <c r="P57" s="1"/>
      <c r="Q57" s="1"/>
      <c r="R57" s="1"/>
      <c r="S57" s="1"/>
      <c r="T57" s="1"/>
      <c r="U57" s="1"/>
      <c r="V57" s="1"/>
      <c r="W57" s="1"/>
      <c r="X57" s="1"/>
      <c r="Y57" s="1"/>
      <c r="Z57" s="1"/>
    </row>
    <row r="58" customFormat="false" ht="15.75" hidden="false" customHeight="true" outlineLevel="0" collapsed="false">
      <c r="H58" s="1"/>
      <c r="I58" s="1"/>
      <c r="J58" s="1"/>
      <c r="K58" s="1"/>
      <c r="L58" s="1"/>
      <c r="M58" s="1"/>
      <c r="N58" s="1"/>
      <c r="O58" s="1"/>
      <c r="P58" s="1"/>
      <c r="Q58" s="1"/>
      <c r="R58" s="1"/>
      <c r="S58" s="1"/>
      <c r="T58" s="1"/>
      <c r="U58" s="1"/>
      <c r="V58" s="1"/>
      <c r="W58" s="1"/>
      <c r="X58" s="1"/>
      <c r="Y58" s="1"/>
      <c r="Z58" s="1"/>
    </row>
    <row r="59" customFormat="false" ht="15.75" hidden="false" customHeight="true" outlineLevel="0" collapsed="false">
      <c r="H59" s="1"/>
      <c r="I59" s="1"/>
      <c r="J59" s="1"/>
      <c r="K59" s="1"/>
      <c r="L59" s="1"/>
      <c r="M59" s="1"/>
      <c r="N59" s="1"/>
      <c r="O59" s="1"/>
      <c r="P59" s="1"/>
      <c r="Q59" s="1"/>
      <c r="R59" s="1"/>
      <c r="S59" s="1"/>
      <c r="T59" s="1"/>
      <c r="U59" s="1"/>
      <c r="V59" s="1"/>
      <c r="W59" s="1"/>
      <c r="X59" s="1"/>
      <c r="Y59" s="1"/>
      <c r="Z59" s="1"/>
    </row>
    <row r="60" customFormat="false" ht="15.75" hidden="false" customHeight="true" outlineLevel="0" collapsed="false">
      <c r="H60" s="1"/>
      <c r="I60" s="1"/>
      <c r="J60" s="1"/>
      <c r="K60" s="1"/>
      <c r="L60" s="1"/>
      <c r="M60" s="1"/>
      <c r="N60" s="1"/>
      <c r="O60" s="1"/>
      <c r="P60" s="1"/>
      <c r="Q60" s="1"/>
      <c r="R60" s="1"/>
      <c r="S60" s="1"/>
      <c r="T60" s="1"/>
      <c r="U60" s="1"/>
      <c r="V60" s="1"/>
      <c r="W60" s="1"/>
      <c r="X60" s="1"/>
      <c r="Y60" s="1"/>
      <c r="Z60" s="1"/>
    </row>
    <row r="61" customFormat="false" ht="15.75" hidden="false" customHeight="true" outlineLevel="0" collapsed="false">
      <c r="H61" s="1"/>
      <c r="I61" s="1"/>
      <c r="J61" s="1"/>
      <c r="K61" s="1"/>
      <c r="L61" s="1"/>
      <c r="M61" s="1"/>
      <c r="N61" s="1"/>
      <c r="O61" s="1"/>
      <c r="P61" s="1"/>
      <c r="Q61" s="1"/>
      <c r="R61" s="1"/>
      <c r="S61" s="1"/>
      <c r="T61" s="1"/>
      <c r="U61" s="1"/>
      <c r="V61" s="1"/>
      <c r="W61" s="1"/>
      <c r="X61" s="1"/>
      <c r="Y61" s="1"/>
      <c r="Z61" s="1"/>
    </row>
    <row r="62" customFormat="false" ht="15.75" hidden="false" customHeight="true" outlineLevel="0" collapsed="false">
      <c r="H62" s="1"/>
      <c r="I62" s="1"/>
      <c r="J62" s="1"/>
      <c r="K62" s="1"/>
      <c r="L62" s="1"/>
      <c r="M62" s="1"/>
      <c r="N62" s="1"/>
      <c r="O62" s="1"/>
      <c r="P62" s="1"/>
      <c r="Q62" s="1"/>
      <c r="R62" s="1"/>
      <c r="S62" s="1"/>
      <c r="T62" s="1"/>
      <c r="U62" s="1"/>
      <c r="V62" s="1"/>
      <c r="W62" s="1"/>
      <c r="X62" s="1"/>
      <c r="Y62" s="1"/>
      <c r="Z62" s="1"/>
    </row>
    <row r="63" customFormat="false" ht="15.75" hidden="false" customHeight="true" outlineLevel="0" collapsed="false">
      <c r="H63" s="1"/>
      <c r="I63" s="1"/>
      <c r="J63" s="1"/>
      <c r="K63" s="1"/>
      <c r="L63" s="1"/>
      <c r="M63" s="1"/>
      <c r="N63" s="1"/>
      <c r="O63" s="1"/>
      <c r="P63" s="1"/>
      <c r="Q63" s="1"/>
      <c r="R63" s="1"/>
      <c r="S63" s="1"/>
      <c r="T63" s="1"/>
      <c r="U63" s="1"/>
      <c r="V63" s="1"/>
      <c r="W63" s="1"/>
      <c r="X63" s="1"/>
      <c r="Y63" s="1"/>
      <c r="Z63" s="1"/>
    </row>
    <row r="64" customFormat="false" ht="15.75" hidden="false" customHeight="true" outlineLevel="0" collapsed="false">
      <c r="H64" s="1"/>
      <c r="I64" s="1"/>
      <c r="J64" s="1"/>
      <c r="K64" s="1"/>
      <c r="L64" s="1"/>
      <c r="M64" s="1"/>
      <c r="N64" s="1"/>
      <c r="O64" s="1"/>
      <c r="P64" s="1"/>
      <c r="Q64" s="1"/>
      <c r="R64" s="1"/>
      <c r="S64" s="1"/>
      <c r="T64" s="1"/>
      <c r="U64" s="1"/>
      <c r="V64" s="1"/>
      <c r="W64" s="1"/>
      <c r="X64" s="1"/>
      <c r="Y64" s="1"/>
      <c r="Z64" s="1"/>
    </row>
    <row r="65" customFormat="false" ht="15.75" hidden="false" customHeight="true" outlineLevel="0" collapsed="false">
      <c r="H65" s="1"/>
      <c r="I65" s="1"/>
      <c r="J65" s="1"/>
      <c r="K65" s="1"/>
      <c r="L65" s="1"/>
      <c r="M65" s="1"/>
      <c r="N65" s="1"/>
      <c r="O65" s="1"/>
      <c r="P65" s="1"/>
      <c r="Q65" s="1"/>
      <c r="R65" s="1"/>
      <c r="S65" s="1"/>
      <c r="T65" s="1"/>
      <c r="U65" s="1"/>
      <c r="V65" s="1"/>
      <c r="W65" s="1"/>
      <c r="X65" s="1"/>
      <c r="Y65" s="1"/>
      <c r="Z65" s="1"/>
    </row>
    <row r="66" customFormat="false" ht="15.75" hidden="false" customHeight="true" outlineLevel="0" collapsed="false">
      <c r="H66" s="1"/>
      <c r="I66" s="1"/>
      <c r="J66" s="1"/>
      <c r="K66" s="1"/>
      <c r="L66" s="1"/>
      <c r="M66" s="1"/>
      <c r="N66" s="1"/>
      <c r="O66" s="1"/>
      <c r="P66" s="1"/>
      <c r="Q66" s="1"/>
      <c r="R66" s="1"/>
      <c r="S66" s="1"/>
      <c r="T66" s="1"/>
      <c r="U66" s="1"/>
      <c r="V66" s="1"/>
      <c r="W66" s="1"/>
      <c r="X66" s="1"/>
      <c r="Y66" s="1"/>
      <c r="Z66" s="1"/>
    </row>
    <row r="67" customFormat="false" ht="15.75" hidden="false" customHeight="true" outlineLevel="0" collapsed="false">
      <c r="H67" s="1"/>
      <c r="I67" s="1"/>
      <c r="J67" s="1"/>
      <c r="K67" s="1"/>
      <c r="L67" s="1"/>
      <c r="M67" s="1"/>
      <c r="N67" s="1"/>
      <c r="O67" s="1"/>
      <c r="P67" s="1"/>
      <c r="Q67" s="1"/>
      <c r="R67" s="1"/>
      <c r="S67" s="1"/>
      <c r="T67" s="1"/>
      <c r="U67" s="1"/>
      <c r="V67" s="1"/>
      <c r="W67" s="1"/>
      <c r="X67" s="1"/>
      <c r="Y67" s="1"/>
      <c r="Z67" s="1"/>
    </row>
    <row r="68" customFormat="false" ht="15.75" hidden="false" customHeight="true" outlineLevel="0" collapsed="false">
      <c r="H68" s="1"/>
      <c r="I68" s="1"/>
      <c r="J68" s="1"/>
      <c r="K68" s="1"/>
      <c r="L68" s="1"/>
      <c r="M68" s="1"/>
      <c r="N68" s="1"/>
      <c r="O68" s="1"/>
      <c r="P68" s="1"/>
      <c r="Q68" s="1"/>
      <c r="R68" s="1"/>
      <c r="S68" s="1"/>
      <c r="T68" s="1"/>
      <c r="U68" s="1"/>
      <c r="V68" s="1"/>
      <c r="W68" s="1"/>
      <c r="X68" s="1"/>
      <c r="Y68" s="1"/>
      <c r="Z68" s="1"/>
    </row>
    <row r="69" customFormat="false" ht="15.75" hidden="false" customHeight="true" outlineLevel="0" collapsed="false">
      <c r="H69" s="1"/>
      <c r="I69" s="1"/>
      <c r="J69" s="1"/>
      <c r="K69" s="1"/>
      <c r="L69" s="1"/>
      <c r="M69" s="1"/>
      <c r="N69" s="1"/>
      <c r="O69" s="1"/>
      <c r="P69" s="1"/>
      <c r="Q69" s="1"/>
      <c r="R69" s="1"/>
      <c r="S69" s="1"/>
      <c r="T69" s="1"/>
      <c r="U69" s="1"/>
      <c r="V69" s="1"/>
      <c r="W69" s="1"/>
      <c r="X69" s="1"/>
      <c r="Y69" s="1"/>
      <c r="Z69" s="1"/>
    </row>
    <row r="70" customFormat="false" ht="15.75" hidden="false" customHeight="true" outlineLevel="0" collapsed="false">
      <c r="H70" s="1"/>
      <c r="I70" s="1"/>
      <c r="J70" s="1"/>
      <c r="K70" s="1"/>
      <c r="L70" s="1"/>
      <c r="M70" s="1"/>
      <c r="N70" s="1"/>
      <c r="O70" s="1"/>
      <c r="P70" s="1"/>
      <c r="Q70" s="1"/>
      <c r="R70" s="1"/>
      <c r="S70" s="1"/>
      <c r="T70" s="1"/>
      <c r="U70" s="1"/>
      <c r="V70" s="1"/>
      <c r="W70" s="1"/>
      <c r="X70" s="1"/>
      <c r="Y70" s="1"/>
      <c r="Z70" s="1"/>
    </row>
    <row r="71" customFormat="false" ht="15.75" hidden="false" customHeight="true" outlineLevel="0" collapsed="false">
      <c r="H71" s="1"/>
      <c r="I71" s="1"/>
      <c r="J71" s="1"/>
      <c r="K71" s="1"/>
      <c r="L71" s="1"/>
      <c r="M71" s="1"/>
      <c r="N71" s="1"/>
      <c r="O71" s="1"/>
      <c r="P71" s="1"/>
      <c r="Q71" s="1"/>
      <c r="R71" s="1"/>
      <c r="S71" s="1"/>
      <c r="T71" s="1"/>
      <c r="U71" s="1"/>
      <c r="V71" s="1"/>
      <c r="W71" s="1"/>
      <c r="X71" s="1"/>
      <c r="Y71" s="1"/>
      <c r="Z71" s="1"/>
    </row>
    <row r="72" customFormat="false" ht="15.75" hidden="false" customHeight="true" outlineLevel="0" collapsed="false">
      <c r="H72" s="1"/>
      <c r="I72" s="1"/>
      <c r="J72" s="1"/>
      <c r="K72" s="1"/>
      <c r="L72" s="1"/>
      <c r="M72" s="1"/>
      <c r="N72" s="1"/>
      <c r="O72" s="1"/>
      <c r="P72" s="1"/>
      <c r="Q72" s="1"/>
      <c r="R72" s="1"/>
      <c r="S72" s="1"/>
      <c r="T72" s="1"/>
      <c r="U72" s="1"/>
      <c r="V72" s="1"/>
      <c r="W72" s="1"/>
      <c r="X72" s="1"/>
      <c r="Y72" s="1"/>
      <c r="Z72" s="1"/>
    </row>
    <row r="73" customFormat="false" ht="15.75" hidden="false" customHeight="true" outlineLevel="0" collapsed="false">
      <c r="H73" s="1"/>
      <c r="I73" s="1"/>
      <c r="J73" s="1"/>
      <c r="K73" s="1"/>
      <c r="L73" s="1"/>
      <c r="M73" s="1"/>
      <c r="N73" s="1"/>
      <c r="O73" s="1"/>
      <c r="P73" s="1"/>
      <c r="Q73" s="1"/>
      <c r="R73" s="1"/>
      <c r="S73" s="1"/>
      <c r="T73" s="1"/>
      <c r="U73" s="1"/>
      <c r="V73" s="1"/>
      <c r="W73" s="1"/>
      <c r="X73" s="1"/>
      <c r="Y73" s="1"/>
      <c r="Z73" s="1"/>
    </row>
    <row r="74" customFormat="false" ht="15.75" hidden="false" customHeight="true" outlineLevel="0" collapsed="false">
      <c r="H74" s="1"/>
      <c r="I74" s="1"/>
      <c r="J74" s="1"/>
      <c r="K74" s="1"/>
      <c r="L74" s="1"/>
      <c r="M74" s="1"/>
      <c r="N74" s="1"/>
      <c r="O74" s="1"/>
      <c r="P74" s="1"/>
      <c r="Q74" s="1"/>
      <c r="R74" s="1"/>
      <c r="S74" s="1"/>
      <c r="T74" s="1"/>
      <c r="U74" s="1"/>
      <c r="V74" s="1"/>
      <c r="W74" s="1"/>
      <c r="X74" s="1"/>
      <c r="Y74" s="1"/>
      <c r="Z74" s="1"/>
    </row>
    <row r="75" customFormat="false" ht="15.75" hidden="false" customHeight="true" outlineLevel="0" collapsed="false">
      <c r="H75" s="1"/>
      <c r="I75" s="1"/>
      <c r="J75" s="1"/>
      <c r="K75" s="1"/>
      <c r="L75" s="1"/>
      <c r="M75" s="1"/>
      <c r="N75" s="1"/>
      <c r="O75" s="1"/>
      <c r="P75" s="1"/>
      <c r="Q75" s="1"/>
      <c r="R75" s="1"/>
      <c r="S75" s="1"/>
      <c r="T75" s="1"/>
      <c r="U75" s="1"/>
      <c r="V75" s="1"/>
      <c r="W75" s="1"/>
      <c r="X75" s="1"/>
      <c r="Y75" s="1"/>
      <c r="Z75" s="1"/>
    </row>
    <row r="76" customFormat="false" ht="15.75" hidden="false" customHeight="true" outlineLevel="0" collapsed="false">
      <c r="H76" s="1"/>
      <c r="I76" s="1"/>
      <c r="J76" s="1"/>
      <c r="K76" s="1"/>
      <c r="L76" s="1"/>
      <c r="M76" s="1"/>
      <c r="N76" s="1"/>
      <c r="O76" s="1"/>
      <c r="P76" s="1"/>
      <c r="Q76" s="1"/>
      <c r="R76" s="1"/>
      <c r="S76" s="1"/>
      <c r="T76" s="1"/>
      <c r="U76" s="1"/>
      <c r="V76" s="1"/>
      <c r="W76" s="1"/>
      <c r="X76" s="1"/>
      <c r="Y76" s="1"/>
      <c r="Z76" s="1"/>
    </row>
    <row r="77" customFormat="false" ht="15.75" hidden="false" customHeight="true" outlineLevel="0" collapsed="false">
      <c r="H77" s="1"/>
      <c r="I77" s="1"/>
      <c r="J77" s="1"/>
      <c r="K77" s="1"/>
      <c r="L77" s="1"/>
      <c r="M77" s="1"/>
      <c r="N77" s="1"/>
      <c r="O77" s="1"/>
      <c r="P77" s="1"/>
      <c r="Q77" s="1"/>
      <c r="R77" s="1"/>
      <c r="S77" s="1"/>
      <c r="T77" s="1"/>
      <c r="U77" s="1"/>
      <c r="V77" s="1"/>
      <c r="W77" s="1"/>
      <c r="X77" s="1"/>
      <c r="Y77" s="1"/>
      <c r="Z77" s="1"/>
    </row>
    <row r="78" customFormat="false" ht="15.75" hidden="false" customHeight="true" outlineLevel="0" collapsed="false">
      <c r="H78" s="1"/>
      <c r="I78" s="1"/>
      <c r="J78" s="1"/>
      <c r="K78" s="1"/>
      <c r="L78" s="1"/>
      <c r="M78" s="1"/>
      <c r="N78" s="1"/>
      <c r="O78" s="1"/>
      <c r="P78" s="1"/>
      <c r="Q78" s="1"/>
      <c r="R78" s="1"/>
      <c r="S78" s="1"/>
      <c r="T78" s="1"/>
      <c r="U78" s="1"/>
      <c r="V78" s="1"/>
      <c r="W78" s="1"/>
      <c r="X78" s="1"/>
      <c r="Y78" s="1"/>
      <c r="Z78" s="1"/>
    </row>
    <row r="79" customFormat="false" ht="15.75" hidden="false" customHeight="true" outlineLevel="0" collapsed="false">
      <c r="H79" s="1"/>
      <c r="I79" s="1"/>
      <c r="J79" s="1"/>
      <c r="K79" s="1"/>
      <c r="L79" s="1"/>
      <c r="M79" s="1"/>
      <c r="N79" s="1"/>
      <c r="O79" s="1"/>
      <c r="P79" s="1"/>
      <c r="Q79" s="1"/>
      <c r="R79" s="1"/>
      <c r="S79" s="1"/>
      <c r="T79" s="1"/>
      <c r="U79" s="1"/>
      <c r="V79" s="1"/>
      <c r="W79" s="1"/>
      <c r="X79" s="1"/>
      <c r="Y79" s="1"/>
      <c r="Z79" s="1"/>
    </row>
    <row r="80" customFormat="false" ht="15.75" hidden="false" customHeight="true" outlineLevel="0" collapsed="false">
      <c r="H80" s="1"/>
      <c r="I80" s="1"/>
      <c r="J80" s="1"/>
      <c r="K80" s="1"/>
      <c r="L80" s="1"/>
      <c r="M80" s="1"/>
      <c r="N80" s="1"/>
      <c r="O80" s="1"/>
      <c r="P80" s="1"/>
      <c r="Q80" s="1"/>
      <c r="R80" s="1"/>
      <c r="S80" s="1"/>
      <c r="T80" s="1"/>
      <c r="U80" s="1"/>
      <c r="V80" s="1"/>
      <c r="W80" s="1"/>
      <c r="X80" s="1"/>
      <c r="Y80" s="1"/>
      <c r="Z80" s="1"/>
    </row>
    <row r="81" customFormat="false" ht="15.75" hidden="false" customHeight="true" outlineLevel="0" collapsed="false">
      <c r="H81" s="1"/>
      <c r="I81" s="1"/>
      <c r="J81" s="1"/>
      <c r="K81" s="1"/>
      <c r="L81" s="1"/>
      <c r="M81" s="1"/>
      <c r="N81" s="1"/>
      <c r="O81" s="1"/>
      <c r="P81" s="1"/>
      <c r="Q81" s="1"/>
      <c r="R81" s="1"/>
      <c r="S81" s="1"/>
      <c r="T81" s="1"/>
      <c r="U81" s="1"/>
      <c r="V81" s="1"/>
      <c r="W81" s="1"/>
      <c r="X81" s="1"/>
      <c r="Y81" s="1"/>
      <c r="Z81" s="1"/>
    </row>
    <row r="82" customFormat="false" ht="15.75" hidden="false" customHeight="true" outlineLevel="0" collapsed="false">
      <c r="H82" s="1"/>
      <c r="I82" s="1"/>
      <c r="J82" s="1"/>
      <c r="K82" s="1"/>
      <c r="L82" s="1"/>
      <c r="M82" s="1"/>
      <c r="N82" s="1"/>
      <c r="O82" s="1"/>
      <c r="P82" s="1"/>
      <c r="Q82" s="1"/>
      <c r="R82" s="1"/>
      <c r="S82" s="1"/>
      <c r="T82" s="1"/>
      <c r="U82" s="1"/>
      <c r="V82" s="1"/>
      <c r="W82" s="1"/>
      <c r="X82" s="1"/>
      <c r="Y82" s="1"/>
      <c r="Z82" s="1"/>
    </row>
    <row r="83" customFormat="false" ht="15.75" hidden="false" customHeight="true" outlineLevel="0" collapsed="false">
      <c r="H83" s="1"/>
      <c r="I83" s="1"/>
      <c r="J83" s="1"/>
      <c r="K83" s="1"/>
      <c r="L83" s="1"/>
      <c r="M83" s="1"/>
      <c r="N83" s="1"/>
      <c r="O83" s="1"/>
      <c r="P83" s="1"/>
      <c r="Q83" s="1"/>
      <c r="R83" s="1"/>
      <c r="S83" s="1"/>
      <c r="T83" s="1"/>
      <c r="U83" s="1"/>
      <c r="V83" s="1"/>
      <c r="W83" s="1"/>
      <c r="X83" s="1"/>
      <c r="Y83" s="1"/>
      <c r="Z83" s="1"/>
    </row>
    <row r="84" customFormat="false" ht="15.75" hidden="false" customHeight="true" outlineLevel="0" collapsed="false">
      <c r="H84" s="1"/>
      <c r="I84" s="1"/>
      <c r="J84" s="1"/>
      <c r="K84" s="1"/>
      <c r="L84" s="1"/>
      <c r="M84" s="1"/>
      <c r="N84" s="1"/>
      <c r="O84" s="1"/>
      <c r="P84" s="1"/>
      <c r="Q84" s="1"/>
      <c r="R84" s="1"/>
      <c r="S84" s="1"/>
      <c r="T84" s="1"/>
      <c r="U84" s="1"/>
      <c r="V84" s="1"/>
      <c r="W84" s="1"/>
      <c r="X84" s="1"/>
      <c r="Y84" s="1"/>
      <c r="Z84" s="1"/>
    </row>
    <row r="85" customFormat="false" ht="15.75" hidden="false" customHeight="true" outlineLevel="0" collapsed="false">
      <c r="H85" s="1"/>
      <c r="I85" s="1"/>
      <c r="J85" s="1"/>
      <c r="K85" s="1"/>
      <c r="L85" s="1"/>
      <c r="M85" s="1"/>
      <c r="N85" s="1"/>
      <c r="O85" s="1"/>
      <c r="P85" s="1"/>
      <c r="Q85" s="1"/>
      <c r="R85" s="1"/>
      <c r="S85" s="1"/>
      <c r="T85" s="1"/>
      <c r="U85" s="1"/>
      <c r="V85" s="1"/>
      <c r="W85" s="1"/>
      <c r="X85" s="1"/>
      <c r="Y85" s="1"/>
      <c r="Z85" s="1"/>
    </row>
    <row r="86" customFormat="false" ht="15.75" hidden="false" customHeight="true" outlineLevel="0" collapsed="false">
      <c r="H86" s="1"/>
      <c r="I86" s="1"/>
      <c r="J86" s="1"/>
      <c r="K86" s="1"/>
      <c r="L86" s="1"/>
      <c r="M86" s="1"/>
      <c r="N86" s="1"/>
      <c r="O86" s="1"/>
      <c r="P86" s="1"/>
      <c r="Q86" s="1"/>
      <c r="R86" s="1"/>
      <c r="S86" s="1"/>
      <c r="T86" s="1"/>
      <c r="U86" s="1"/>
      <c r="V86" s="1"/>
      <c r="W86" s="1"/>
      <c r="X86" s="1"/>
      <c r="Y86" s="1"/>
      <c r="Z86" s="1"/>
    </row>
    <row r="87" customFormat="false" ht="15.75" hidden="false" customHeight="true" outlineLevel="0" collapsed="false">
      <c r="H87" s="1"/>
      <c r="I87" s="1"/>
      <c r="J87" s="1"/>
      <c r="K87" s="1"/>
      <c r="L87" s="1"/>
      <c r="M87" s="1"/>
      <c r="N87" s="1"/>
      <c r="O87" s="1"/>
      <c r="P87" s="1"/>
      <c r="Q87" s="1"/>
      <c r="R87" s="1"/>
      <c r="S87" s="1"/>
      <c r="T87" s="1"/>
      <c r="U87" s="1"/>
      <c r="V87" s="1"/>
      <c r="W87" s="1"/>
      <c r="X87" s="1"/>
      <c r="Y87" s="1"/>
      <c r="Z87" s="1"/>
    </row>
    <row r="88" customFormat="false" ht="15.75" hidden="false" customHeight="true" outlineLevel="0" collapsed="false">
      <c r="H88" s="1"/>
      <c r="I88" s="1"/>
      <c r="J88" s="1"/>
      <c r="K88" s="1"/>
      <c r="L88" s="1"/>
      <c r="M88" s="1"/>
      <c r="N88" s="1"/>
      <c r="O88" s="1"/>
      <c r="P88" s="1"/>
      <c r="Q88" s="1"/>
      <c r="R88" s="1"/>
      <c r="S88" s="1"/>
      <c r="T88" s="1"/>
      <c r="U88" s="1"/>
      <c r="V88" s="1"/>
      <c r="W88" s="1"/>
      <c r="X88" s="1"/>
      <c r="Y88" s="1"/>
      <c r="Z88" s="1"/>
    </row>
    <row r="89" customFormat="false" ht="15.75" hidden="false" customHeight="true" outlineLevel="0" collapsed="false">
      <c r="H89" s="1"/>
      <c r="I89" s="1"/>
      <c r="J89" s="1"/>
      <c r="K89" s="1"/>
      <c r="L89" s="1"/>
      <c r="M89" s="1"/>
      <c r="N89" s="1"/>
      <c r="O89" s="1"/>
      <c r="P89" s="1"/>
      <c r="Q89" s="1"/>
      <c r="R89" s="1"/>
      <c r="S89" s="1"/>
      <c r="T89" s="1"/>
      <c r="U89" s="1"/>
      <c r="V89" s="1"/>
      <c r="W89" s="1"/>
      <c r="X89" s="1"/>
      <c r="Y89" s="1"/>
      <c r="Z89" s="1"/>
    </row>
    <row r="90" customFormat="false" ht="15.75" hidden="false" customHeight="true" outlineLevel="0" collapsed="false">
      <c r="H90" s="1"/>
      <c r="I90" s="1"/>
      <c r="J90" s="1"/>
      <c r="K90" s="1"/>
      <c r="L90" s="1"/>
      <c r="M90" s="1"/>
      <c r="N90" s="1"/>
      <c r="O90" s="1"/>
      <c r="P90" s="1"/>
      <c r="Q90" s="1"/>
      <c r="R90" s="1"/>
      <c r="S90" s="1"/>
      <c r="T90" s="1"/>
      <c r="U90" s="1"/>
      <c r="V90" s="1"/>
      <c r="W90" s="1"/>
      <c r="X90" s="1"/>
      <c r="Y90" s="1"/>
      <c r="Z90" s="1"/>
    </row>
    <row r="91" customFormat="false" ht="15.75" hidden="false" customHeight="true" outlineLevel="0" collapsed="false">
      <c r="H91" s="1"/>
      <c r="I91" s="1"/>
      <c r="J91" s="1"/>
      <c r="K91" s="1"/>
      <c r="L91" s="1"/>
      <c r="M91" s="1"/>
      <c r="N91" s="1"/>
      <c r="O91" s="1"/>
      <c r="P91" s="1"/>
      <c r="Q91" s="1"/>
      <c r="R91" s="1"/>
      <c r="S91" s="1"/>
      <c r="T91" s="1"/>
      <c r="U91" s="1"/>
      <c r="V91" s="1"/>
      <c r="W91" s="1"/>
      <c r="X91" s="1"/>
      <c r="Y91" s="1"/>
      <c r="Z91" s="1"/>
    </row>
    <row r="92" customFormat="false" ht="15.75" hidden="false" customHeight="true" outlineLevel="0" collapsed="false">
      <c r="H92" s="1"/>
      <c r="I92" s="1"/>
      <c r="J92" s="1"/>
      <c r="K92" s="1"/>
      <c r="L92" s="1"/>
      <c r="M92" s="1"/>
      <c r="N92" s="1"/>
      <c r="O92" s="1"/>
      <c r="P92" s="1"/>
      <c r="Q92" s="1"/>
      <c r="R92" s="1"/>
      <c r="S92" s="1"/>
      <c r="T92" s="1"/>
      <c r="U92" s="1"/>
      <c r="V92" s="1"/>
      <c r="W92" s="1"/>
      <c r="X92" s="1"/>
      <c r="Y92" s="1"/>
      <c r="Z92" s="1"/>
    </row>
    <row r="93" customFormat="false" ht="15.75" hidden="false" customHeight="true" outlineLevel="0" collapsed="false">
      <c r="H93" s="1"/>
      <c r="I93" s="1"/>
      <c r="J93" s="1"/>
      <c r="K93" s="1"/>
      <c r="L93" s="1"/>
      <c r="M93" s="1"/>
      <c r="N93" s="1"/>
      <c r="O93" s="1"/>
      <c r="P93" s="1"/>
      <c r="Q93" s="1"/>
      <c r="R93" s="1"/>
      <c r="S93" s="1"/>
      <c r="T93" s="1"/>
      <c r="U93" s="1"/>
      <c r="V93" s="1"/>
      <c r="W93" s="1"/>
      <c r="X93" s="1"/>
      <c r="Y93" s="1"/>
      <c r="Z93" s="1"/>
    </row>
    <row r="94" customFormat="false" ht="15.75" hidden="false" customHeight="true" outlineLevel="0" collapsed="false">
      <c r="H94" s="1"/>
      <c r="I94" s="1"/>
      <c r="J94" s="1"/>
      <c r="K94" s="1"/>
      <c r="L94" s="1"/>
      <c r="M94" s="1"/>
      <c r="N94" s="1"/>
      <c r="O94" s="1"/>
      <c r="P94" s="1"/>
      <c r="Q94" s="1"/>
      <c r="R94" s="1"/>
      <c r="S94" s="1"/>
      <c r="T94" s="1"/>
      <c r="U94" s="1"/>
      <c r="V94" s="1"/>
      <c r="W94" s="1"/>
      <c r="X94" s="1"/>
      <c r="Y94" s="1"/>
      <c r="Z94" s="1"/>
    </row>
    <row r="95" customFormat="false" ht="15.75" hidden="false" customHeight="true" outlineLevel="0" collapsed="false">
      <c r="H95" s="1"/>
      <c r="I95" s="1"/>
      <c r="J95" s="1"/>
      <c r="K95" s="1"/>
      <c r="L95" s="1"/>
      <c r="M95" s="1"/>
      <c r="N95" s="1"/>
      <c r="O95" s="1"/>
      <c r="P95" s="1"/>
      <c r="Q95" s="1"/>
      <c r="R95" s="1"/>
      <c r="S95" s="1"/>
      <c r="T95" s="1"/>
      <c r="U95" s="1"/>
      <c r="V95" s="1"/>
      <c r="W95" s="1"/>
      <c r="X95" s="1"/>
      <c r="Y95" s="1"/>
      <c r="Z95" s="1"/>
    </row>
    <row r="96" customFormat="false" ht="15.75" hidden="false" customHeight="true" outlineLevel="0" collapsed="false">
      <c r="H96" s="1"/>
      <c r="I96" s="1"/>
      <c r="J96" s="1"/>
      <c r="K96" s="1"/>
      <c r="L96" s="1"/>
      <c r="M96" s="1"/>
      <c r="N96" s="1"/>
      <c r="O96" s="1"/>
      <c r="P96" s="1"/>
      <c r="Q96" s="1"/>
      <c r="R96" s="1"/>
      <c r="S96" s="1"/>
      <c r="T96" s="1"/>
      <c r="U96" s="1"/>
      <c r="V96" s="1"/>
      <c r="W96" s="1"/>
      <c r="X96" s="1"/>
      <c r="Y96" s="1"/>
      <c r="Z96" s="1"/>
    </row>
    <row r="97" customFormat="false" ht="15.75" hidden="false" customHeight="true" outlineLevel="0" collapsed="false">
      <c r="H97" s="1"/>
      <c r="I97" s="1"/>
      <c r="J97" s="1"/>
      <c r="K97" s="1"/>
      <c r="L97" s="1"/>
      <c r="M97" s="1"/>
      <c r="N97" s="1"/>
      <c r="O97" s="1"/>
      <c r="P97" s="1"/>
      <c r="Q97" s="1"/>
      <c r="R97" s="1"/>
      <c r="S97" s="1"/>
      <c r="T97" s="1"/>
      <c r="U97" s="1"/>
      <c r="V97" s="1"/>
      <c r="W97" s="1"/>
      <c r="X97" s="1"/>
      <c r="Y97" s="1"/>
      <c r="Z97" s="1"/>
    </row>
    <row r="98" customFormat="false" ht="15.75" hidden="false" customHeight="true" outlineLevel="0" collapsed="false">
      <c r="H98" s="1"/>
      <c r="I98" s="1"/>
      <c r="J98" s="1"/>
      <c r="K98" s="1"/>
      <c r="L98" s="1"/>
      <c r="M98" s="1"/>
      <c r="N98" s="1"/>
      <c r="O98" s="1"/>
      <c r="P98" s="1"/>
      <c r="Q98" s="1"/>
      <c r="R98" s="1"/>
      <c r="S98" s="1"/>
      <c r="T98" s="1"/>
      <c r="U98" s="1"/>
      <c r="V98" s="1"/>
      <c r="W98" s="1"/>
      <c r="X98" s="1"/>
      <c r="Y98" s="1"/>
      <c r="Z98" s="1"/>
    </row>
    <row r="99" customFormat="false" ht="15.75" hidden="false" customHeight="true" outlineLevel="0" collapsed="false">
      <c r="H99" s="1"/>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H100" s="1"/>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H101" s="1"/>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H102" s="1"/>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H103" s="1"/>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H104" s="1"/>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H105" s="1"/>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H106" s="1"/>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H107" s="1"/>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H108" s="1"/>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H109" s="1"/>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H110" s="1"/>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H111" s="1"/>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H112" s="1"/>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H113" s="1"/>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H114" s="1"/>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H115" s="1"/>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H116" s="1"/>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H117" s="1"/>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H118" s="1"/>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H119" s="1"/>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H120" s="1"/>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H121" s="1"/>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H122" s="1"/>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H123" s="1"/>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H124" s="1"/>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H125" s="1"/>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H126" s="1"/>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H127" s="1"/>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H128" s="1"/>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H129" s="1"/>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H130" s="1"/>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H131" s="1"/>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H132" s="1"/>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H133" s="1"/>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H134" s="1"/>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H135" s="1"/>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H136" s="1"/>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H137" s="1"/>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H138" s="1"/>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H139" s="1"/>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H140" s="1"/>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H141" s="1"/>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H142" s="1"/>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H143" s="1"/>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H144" s="1"/>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H145" s="1"/>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H146" s="1"/>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H147" s="1"/>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H148" s="1"/>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H149" s="1"/>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H150" s="1"/>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H151" s="1"/>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H152" s="1"/>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H153" s="1"/>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H154" s="1"/>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H155" s="1"/>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H156" s="1"/>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H157" s="1"/>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H158" s="1"/>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H159" s="1"/>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H160" s="1"/>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H161" s="1"/>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H162" s="1"/>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H163" s="1"/>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H164" s="1"/>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H165" s="1"/>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H166" s="1"/>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H167" s="1"/>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H168" s="1"/>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H169" s="1"/>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H170" s="1"/>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H171" s="1"/>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H172" s="1"/>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H173" s="1"/>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H174" s="1"/>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H175" s="1"/>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H176" s="1"/>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H177" s="1"/>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H178" s="1"/>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H179" s="1"/>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H180" s="1"/>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H181" s="1"/>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H182" s="1"/>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H183" s="1"/>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H184" s="1"/>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H185" s="1"/>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H186" s="1"/>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H187" s="1"/>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H188" s="1"/>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H189" s="1"/>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H190" s="1"/>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H191" s="1"/>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H192" s="1"/>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H193" s="1"/>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H194" s="1"/>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H195" s="1"/>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H196" s="1"/>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H197" s="1"/>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H198" s="1"/>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H199" s="1"/>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H200" s="1"/>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H201" s="1"/>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H202" s="1"/>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H203" s="1"/>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H204" s="1"/>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H205" s="1"/>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H206" s="1"/>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H207" s="1"/>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H208" s="1"/>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H209" s="1"/>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H210" s="1"/>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H211" s="1"/>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H212" s="1"/>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H213" s="1"/>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H214" s="1"/>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H215" s="1"/>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H216" s="1"/>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H217" s="1"/>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H218" s="1"/>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H219" s="1"/>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H220" s="1"/>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H221" s="1"/>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H222" s="1"/>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H223" s="1"/>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H224" s="1"/>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H225" s="1"/>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H226" s="1"/>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H227" s="1"/>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H228" s="1"/>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H229" s="1"/>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H230" s="1"/>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H231" s="1"/>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H232" s="1"/>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H233" s="1"/>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H234" s="1"/>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H235" s="1"/>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H236" s="1"/>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H237" s="1"/>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H238" s="1"/>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H239" s="1"/>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H240" s="1"/>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H241" s="1"/>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H242" s="1"/>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H243" s="1"/>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H244" s="1"/>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H245" s="1"/>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H246" s="1"/>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H247" s="1"/>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H248" s="1"/>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H249" s="1"/>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H250" s="1"/>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H251" s="1"/>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H252" s="1"/>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H253" s="1"/>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H254" s="1"/>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H255" s="1"/>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H256" s="1"/>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H257" s="1"/>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H258" s="1"/>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H259" s="1"/>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H260" s="1"/>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H261" s="1"/>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H262" s="1"/>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H263" s="1"/>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H264" s="1"/>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H265" s="1"/>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H266" s="1"/>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H267" s="1"/>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H268" s="1"/>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H269" s="1"/>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H270" s="1"/>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H271" s="1"/>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H272" s="1"/>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H273" s="1"/>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H274" s="1"/>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H275" s="1"/>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H276" s="1"/>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H277" s="1"/>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H278" s="1"/>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H279" s="1"/>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H280" s="1"/>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H281" s="1"/>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H282" s="1"/>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H283" s="1"/>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H284" s="1"/>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H285" s="1"/>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H286" s="1"/>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H287" s="1"/>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H288" s="1"/>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H289" s="1"/>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H290" s="1"/>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H291" s="1"/>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H292" s="1"/>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H293" s="1"/>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H294" s="1"/>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H295" s="1"/>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H296" s="1"/>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H297" s="1"/>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H298" s="1"/>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H299" s="1"/>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H300" s="1"/>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H301" s="1"/>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H302" s="1"/>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H303" s="1"/>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H304" s="1"/>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H305" s="1"/>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H306" s="1"/>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H307" s="1"/>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H308" s="1"/>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H309" s="1"/>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H310" s="1"/>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H311" s="1"/>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H312" s="1"/>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H313" s="1"/>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H314" s="1"/>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H315" s="1"/>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H316" s="1"/>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H317" s="1"/>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H318" s="1"/>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H319" s="1"/>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H320" s="1"/>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H321" s="1"/>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H322" s="1"/>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H323" s="1"/>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H324" s="1"/>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H325" s="1"/>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H326" s="1"/>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H327" s="1"/>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H328" s="1"/>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H329" s="1"/>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H330" s="1"/>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H331" s="1"/>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H332" s="1"/>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H333" s="1"/>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H334" s="1"/>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H335" s="1"/>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H336" s="1"/>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H337" s="1"/>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H338" s="1"/>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H339" s="1"/>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H340" s="1"/>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H341" s="1"/>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H342" s="1"/>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H343" s="1"/>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H344" s="1"/>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H345" s="1"/>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H346" s="1"/>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H347" s="1"/>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H348" s="1"/>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H349" s="1"/>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H350" s="1"/>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H351" s="1"/>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H352" s="1"/>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H353" s="1"/>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H354" s="1"/>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H355" s="1"/>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H356" s="1"/>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H357" s="1"/>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H358" s="1"/>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H359" s="1"/>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H360" s="1"/>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H361" s="1"/>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H362" s="1"/>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H363" s="1"/>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H364" s="1"/>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H365" s="1"/>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H366" s="1"/>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H367" s="1"/>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H368" s="1"/>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H369" s="1"/>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H370" s="1"/>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H371" s="1"/>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H372" s="1"/>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H373" s="1"/>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H374" s="1"/>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H375" s="1"/>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H376" s="1"/>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H377" s="1"/>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H378" s="1"/>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H379" s="1"/>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H380" s="1"/>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H381" s="1"/>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H382" s="1"/>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H383" s="1"/>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H384" s="1"/>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H385" s="1"/>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H386" s="1"/>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H387" s="1"/>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H388" s="1"/>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H389" s="1"/>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H390" s="1"/>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H391" s="1"/>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H392" s="1"/>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H393" s="1"/>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H394" s="1"/>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H395" s="1"/>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H396" s="1"/>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H397" s="1"/>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H398" s="1"/>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H399" s="1"/>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H400" s="1"/>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H401" s="1"/>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H402" s="1"/>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H403" s="1"/>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H404" s="1"/>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H405" s="1"/>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H406" s="1"/>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H407" s="1"/>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H408" s="1"/>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H409" s="1"/>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H410" s="1"/>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H411" s="1"/>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H412" s="1"/>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H413" s="1"/>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H414" s="1"/>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H415" s="1"/>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H416" s="1"/>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H417" s="1"/>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H418" s="1"/>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H419" s="1"/>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H420" s="1"/>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H421" s="1"/>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H422" s="1"/>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H423" s="1"/>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H424" s="1"/>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H425" s="1"/>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H426" s="1"/>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H427" s="1"/>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H428" s="1"/>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H429" s="1"/>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H430" s="1"/>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H431" s="1"/>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H432" s="1"/>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H433" s="1"/>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H434" s="1"/>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H435" s="1"/>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H436" s="1"/>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H437" s="1"/>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H438" s="1"/>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H439" s="1"/>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H440" s="1"/>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H441" s="1"/>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H442" s="1"/>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H443" s="1"/>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H444" s="1"/>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H445" s="1"/>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H446" s="1"/>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H447" s="1"/>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H448" s="1"/>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H449" s="1"/>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H450" s="1"/>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H451" s="1"/>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H452" s="1"/>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H453" s="1"/>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H454" s="1"/>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H455" s="1"/>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H456" s="1"/>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H457" s="1"/>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H458" s="1"/>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H459" s="1"/>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H460" s="1"/>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H461" s="1"/>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H462" s="1"/>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H463" s="1"/>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H464" s="1"/>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H465" s="1"/>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H466" s="1"/>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H467" s="1"/>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H468" s="1"/>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H469" s="1"/>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H470" s="1"/>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H471" s="1"/>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H472" s="1"/>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H473" s="1"/>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H474" s="1"/>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H475" s="1"/>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H476" s="1"/>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H477" s="1"/>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H478" s="1"/>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H479" s="1"/>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H480" s="1"/>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H481" s="1"/>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H482" s="1"/>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H483" s="1"/>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H484" s="1"/>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H485" s="1"/>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H486" s="1"/>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H487" s="1"/>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H488" s="1"/>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H489" s="1"/>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H490" s="1"/>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H491" s="1"/>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H492" s="1"/>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H493" s="1"/>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H494" s="1"/>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H495" s="1"/>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H496" s="1"/>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H497" s="1"/>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H498" s="1"/>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H499" s="1"/>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H500" s="1"/>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H501" s="1"/>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H502" s="1"/>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H503" s="1"/>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H504" s="1"/>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H505" s="1"/>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H506" s="1"/>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H507" s="1"/>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H508" s="1"/>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H509" s="1"/>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H510" s="1"/>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H511" s="1"/>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H512" s="1"/>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H513" s="1"/>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H514" s="1"/>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H515" s="1"/>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H516" s="1"/>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H517" s="1"/>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H518" s="1"/>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H519" s="1"/>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H520" s="1"/>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H521" s="1"/>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H522" s="1"/>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H523" s="1"/>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H524" s="1"/>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H525" s="1"/>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H526" s="1"/>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H527" s="1"/>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H528" s="1"/>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H529" s="1"/>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H530" s="1"/>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H531" s="1"/>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H532" s="1"/>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H533" s="1"/>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H534" s="1"/>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H535" s="1"/>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H536" s="1"/>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H537" s="1"/>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H538" s="1"/>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H539" s="1"/>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H540" s="1"/>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H541" s="1"/>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H542" s="1"/>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H543" s="1"/>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H544" s="1"/>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H545" s="1"/>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H546" s="1"/>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H547" s="1"/>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H548" s="1"/>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H549" s="1"/>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H550" s="1"/>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H551" s="1"/>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H552" s="1"/>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H553" s="1"/>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H554" s="1"/>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H555" s="1"/>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H556" s="1"/>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H557" s="1"/>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H558" s="1"/>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H559" s="1"/>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H560" s="1"/>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H561" s="1"/>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H562" s="1"/>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H563" s="1"/>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H564" s="1"/>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H565" s="1"/>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H566" s="1"/>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H567" s="1"/>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H568" s="1"/>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H569" s="1"/>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H570" s="1"/>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H571" s="1"/>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H572" s="1"/>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H573" s="1"/>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H574" s="1"/>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H575" s="1"/>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H576" s="1"/>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H577" s="1"/>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H578" s="1"/>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H579" s="1"/>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H580" s="1"/>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H581" s="1"/>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H582" s="1"/>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H583" s="1"/>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H584" s="1"/>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H585" s="1"/>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H586" s="1"/>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H587" s="1"/>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H588" s="1"/>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H589" s="1"/>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H590" s="1"/>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H591" s="1"/>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H592" s="1"/>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H593" s="1"/>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H594" s="1"/>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H595" s="1"/>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H596" s="1"/>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H597" s="1"/>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H598" s="1"/>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H599" s="1"/>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H600" s="1"/>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H601" s="1"/>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H602" s="1"/>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H603" s="1"/>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H604" s="1"/>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H605" s="1"/>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H606" s="1"/>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H607" s="1"/>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H608" s="1"/>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H609" s="1"/>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H610" s="1"/>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H611" s="1"/>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H612" s="1"/>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H613" s="1"/>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H614" s="1"/>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H615" s="1"/>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H616" s="1"/>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H617" s="1"/>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H618" s="1"/>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H619" s="1"/>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H620" s="1"/>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H621" s="1"/>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H622" s="1"/>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H623" s="1"/>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H624" s="1"/>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H625" s="1"/>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H626" s="1"/>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H627" s="1"/>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H628" s="1"/>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H629" s="1"/>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H630" s="1"/>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H631" s="1"/>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H632" s="1"/>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H633" s="1"/>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H634" s="1"/>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H635" s="1"/>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H636" s="1"/>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H637" s="1"/>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H638" s="1"/>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H639" s="1"/>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H640" s="1"/>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H641" s="1"/>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H642" s="1"/>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H643" s="1"/>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H644" s="1"/>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H645" s="1"/>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H646" s="1"/>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H647" s="1"/>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H648" s="1"/>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H649" s="1"/>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H650" s="1"/>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H651" s="1"/>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H652" s="1"/>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H653" s="1"/>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H654" s="1"/>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H655" s="1"/>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H656" s="1"/>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H657" s="1"/>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H658" s="1"/>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H659" s="1"/>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H660" s="1"/>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H661" s="1"/>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H662" s="1"/>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H663" s="1"/>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H664" s="1"/>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H665" s="1"/>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H666" s="1"/>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H667" s="1"/>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H668" s="1"/>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H669" s="1"/>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H670" s="1"/>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H671" s="1"/>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H672" s="1"/>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H673" s="1"/>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H674" s="1"/>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H675" s="1"/>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H676" s="1"/>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H677" s="1"/>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H678" s="1"/>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H679" s="1"/>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H680" s="1"/>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H681" s="1"/>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H682" s="1"/>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H683" s="1"/>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H684" s="1"/>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H685" s="1"/>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H686" s="1"/>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H687" s="1"/>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H688" s="1"/>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H689" s="1"/>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H690" s="1"/>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H691" s="1"/>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H692" s="1"/>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H693" s="1"/>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H694" s="1"/>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H695" s="1"/>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H696" s="1"/>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H697" s="1"/>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H698" s="1"/>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H699" s="1"/>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H700" s="1"/>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H701" s="1"/>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H702" s="1"/>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H703" s="1"/>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H704" s="1"/>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H705" s="1"/>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H706" s="1"/>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H707" s="1"/>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H708" s="1"/>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H709" s="1"/>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H710" s="1"/>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H711" s="1"/>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H712" s="1"/>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H713" s="1"/>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H714" s="1"/>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H715" s="1"/>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H716" s="1"/>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H717" s="1"/>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H718" s="1"/>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H719" s="1"/>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H720" s="1"/>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H721" s="1"/>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H722" s="1"/>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H723" s="1"/>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H724" s="1"/>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H725" s="1"/>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H726" s="1"/>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H727" s="1"/>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H728" s="1"/>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H729" s="1"/>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H730" s="1"/>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H731" s="1"/>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H732" s="1"/>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H733" s="1"/>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H734" s="1"/>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H735" s="1"/>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H736" s="1"/>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H737" s="1"/>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H738" s="1"/>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H739" s="1"/>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H740" s="1"/>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H741" s="1"/>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H742" s="1"/>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H743" s="1"/>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H744" s="1"/>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H745" s="1"/>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H746" s="1"/>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H747" s="1"/>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H748" s="1"/>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H749" s="1"/>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H750" s="1"/>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H751" s="1"/>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H752" s="1"/>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H753" s="1"/>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H754" s="1"/>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H755" s="1"/>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H756" s="1"/>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H757" s="1"/>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H758" s="1"/>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H759" s="1"/>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H760" s="1"/>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H761" s="1"/>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H762" s="1"/>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H763" s="1"/>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H764" s="1"/>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H765" s="1"/>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H766" s="1"/>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H767" s="1"/>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H768" s="1"/>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H769" s="1"/>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H770" s="1"/>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H771" s="1"/>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H772" s="1"/>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H773" s="1"/>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H774" s="1"/>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H775" s="1"/>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H776" s="1"/>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H777" s="1"/>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H778" s="1"/>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H779" s="1"/>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H780" s="1"/>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H781" s="1"/>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H782" s="1"/>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H783" s="1"/>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H784" s="1"/>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H785" s="1"/>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H786" s="1"/>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H787" s="1"/>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H788" s="1"/>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H789" s="1"/>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H790" s="1"/>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H791" s="1"/>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H792" s="1"/>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H793" s="1"/>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H794" s="1"/>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H795" s="1"/>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H796" s="1"/>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H797" s="1"/>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H798" s="1"/>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H799" s="1"/>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H800" s="1"/>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H801" s="1"/>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H802" s="1"/>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H803" s="1"/>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H804" s="1"/>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H805" s="1"/>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H806" s="1"/>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H807" s="1"/>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H808" s="1"/>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H809" s="1"/>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H810" s="1"/>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H811" s="1"/>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H812" s="1"/>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H813" s="1"/>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H814" s="1"/>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H815" s="1"/>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H816" s="1"/>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H817" s="1"/>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H818" s="1"/>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H819" s="1"/>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H820" s="1"/>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H821" s="1"/>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H822" s="1"/>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H823" s="1"/>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H824" s="1"/>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H825" s="1"/>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H826" s="1"/>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H827" s="1"/>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H828" s="1"/>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H829" s="1"/>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H830" s="1"/>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H831" s="1"/>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H832" s="1"/>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H833" s="1"/>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H834" s="1"/>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H835" s="1"/>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H836" s="1"/>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H837" s="1"/>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H838" s="1"/>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H839" s="1"/>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H840" s="1"/>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H841" s="1"/>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H842" s="1"/>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H843" s="1"/>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H844" s="1"/>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H845" s="1"/>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H846" s="1"/>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H847" s="1"/>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H848" s="1"/>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H849" s="1"/>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H850" s="1"/>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H851" s="1"/>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H852" s="1"/>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H853" s="1"/>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H854" s="1"/>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H855" s="1"/>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H856" s="1"/>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H857" s="1"/>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H858" s="1"/>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H859" s="1"/>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H860" s="1"/>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H861" s="1"/>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H862" s="1"/>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H863" s="1"/>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H864" s="1"/>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H865" s="1"/>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H866" s="1"/>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H867" s="1"/>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H868" s="1"/>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H869" s="1"/>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H870" s="1"/>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H871" s="1"/>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H872" s="1"/>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H873" s="1"/>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H874" s="1"/>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H875" s="1"/>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H876" s="1"/>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H877" s="1"/>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H878" s="1"/>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H879" s="1"/>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H880" s="1"/>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H881" s="1"/>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H882" s="1"/>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H883" s="1"/>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H884" s="1"/>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H885" s="1"/>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H886" s="1"/>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H887" s="1"/>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H888" s="1"/>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H889" s="1"/>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H890" s="1"/>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H891" s="1"/>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H892" s="1"/>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H893" s="1"/>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H894" s="1"/>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H895" s="1"/>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H896" s="1"/>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H897" s="1"/>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H898" s="1"/>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H899" s="1"/>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H900" s="1"/>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H901" s="1"/>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H902" s="1"/>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H903" s="1"/>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H904" s="1"/>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H905" s="1"/>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H906" s="1"/>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H907" s="1"/>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H908" s="1"/>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H909" s="1"/>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H910" s="1"/>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H911" s="1"/>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H912" s="1"/>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H913" s="1"/>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H914" s="1"/>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H915" s="1"/>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H916" s="1"/>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H917" s="1"/>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H918" s="1"/>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H919" s="1"/>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H920" s="1"/>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H921" s="1"/>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H922" s="1"/>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H923" s="1"/>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H924" s="1"/>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H925" s="1"/>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H926" s="1"/>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H927" s="1"/>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H928" s="1"/>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H929" s="1"/>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H930" s="1"/>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H931" s="1"/>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H932" s="1"/>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H933" s="1"/>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H934" s="1"/>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H935" s="1"/>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H936" s="1"/>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H937" s="1"/>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H938" s="1"/>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H939" s="1"/>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H940" s="1"/>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H941" s="1"/>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H942" s="1"/>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H943" s="1"/>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H944" s="1"/>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H945" s="1"/>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H946" s="1"/>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H947" s="1"/>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H948" s="1"/>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H949" s="1"/>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H950" s="1"/>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H951" s="1"/>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H952" s="1"/>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H953" s="1"/>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H954" s="1"/>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H955" s="1"/>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H956" s="1"/>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H957" s="1"/>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H958" s="1"/>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H959" s="1"/>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H960" s="1"/>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H961" s="1"/>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H962" s="1"/>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H963" s="1"/>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H964" s="1"/>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H965" s="1"/>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H966" s="1"/>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H967" s="1"/>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H968" s="1"/>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H969" s="1"/>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H970" s="1"/>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H971" s="1"/>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H972" s="1"/>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H973" s="1"/>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H974" s="1"/>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H975" s="1"/>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H976" s="1"/>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H977" s="1"/>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H978" s="1"/>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H979" s="1"/>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H980" s="1"/>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H981" s="1"/>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H982" s="1"/>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H983" s="1"/>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H984" s="1"/>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H985" s="1"/>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H986" s="1"/>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H987" s="1"/>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H988" s="1"/>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H989" s="1"/>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H990" s="1"/>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H991" s="1"/>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H992" s="1"/>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H993" s="1"/>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H994" s="1"/>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H995" s="1"/>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H996" s="1"/>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H997" s="1"/>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H998" s="1"/>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H999" s="1"/>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H1000" s="1"/>
      <c r="I1000" s="1"/>
      <c r="J1000" s="1"/>
      <c r="K1000" s="1"/>
      <c r="L1000" s="1"/>
      <c r="M1000" s="1"/>
      <c r="N1000" s="1"/>
      <c r="O1000" s="1"/>
      <c r="P1000" s="1"/>
      <c r="Q1000" s="1"/>
      <c r="R1000" s="1"/>
      <c r="S1000" s="1"/>
      <c r="T1000" s="1"/>
      <c r="U1000" s="1"/>
      <c r="V1000" s="1"/>
      <c r="W1000" s="1"/>
      <c r="X1000" s="1"/>
      <c r="Y1000" s="1"/>
      <c r="Z1000" s="1"/>
    </row>
  </sheetData>
  <autoFilter ref="A3:G13"/>
  <mergeCells count="9">
    <mergeCell ref="A1:G1"/>
    <mergeCell ref="A2:G2"/>
    <mergeCell ref="A15:G15"/>
    <mergeCell ref="A16:G16"/>
    <mergeCell ref="A17:G17"/>
    <mergeCell ref="A18:G18"/>
    <mergeCell ref="A19:G19"/>
    <mergeCell ref="A20:G20"/>
    <mergeCell ref="A21:G2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5"/>
    <col collapsed="false" customWidth="true" hidden="false" outlineLevel="0" max="2" min="2" style="1" width="36"/>
    <col collapsed="false" customWidth="true" hidden="false" outlineLevel="0" max="3" min="3" style="1" width="22"/>
    <col collapsed="false" customWidth="true" hidden="false" outlineLevel="0" max="4" min="4" style="1" width="14"/>
    <col collapsed="false" customWidth="true" hidden="false" outlineLevel="0" max="5" min="5" style="1" width="16"/>
    <col collapsed="false" customWidth="true" hidden="false" outlineLevel="0" max="6" min="6" style="1" width="12"/>
    <col collapsed="false" customWidth="true" hidden="false" outlineLevel="0" max="7" min="7" style="1" width="10"/>
  </cols>
  <sheetData>
    <row r="1" customFormat="false" ht="39.75" hidden="false" customHeight="true" outlineLevel="0" collapsed="false">
      <c r="A1" s="68" t="s">
        <v>340</v>
      </c>
      <c r="B1" s="68"/>
      <c r="C1" s="68"/>
      <c r="D1" s="68"/>
      <c r="E1" s="68"/>
      <c r="F1" s="68"/>
      <c r="G1" s="68"/>
      <c r="H1" s="1"/>
      <c r="I1" s="1"/>
      <c r="J1" s="1"/>
      <c r="K1" s="1"/>
      <c r="L1" s="1"/>
      <c r="M1" s="1"/>
      <c r="N1" s="1"/>
      <c r="O1" s="1"/>
      <c r="P1" s="1"/>
      <c r="Q1" s="1"/>
      <c r="R1" s="1"/>
      <c r="S1" s="1"/>
      <c r="T1" s="1"/>
      <c r="U1" s="1"/>
      <c r="V1" s="1"/>
      <c r="W1" s="1"/>
      <c r="X1" s="1"/>
      <c r="Y1" s="1"/>
      <c r="Z1" s="1"/>
    </row>
    <row r="2" customFormat="false" ht="19.5" hidden="false" customHeight="true" outlineLevel="0" collapsed="false">
      <c r="A2" s="63" t="s">
        <v>312</v>
      </c>
      <c r="B2" s="63"/>
      <c r="C2" s="63"/>
      <c r="D2" s="63"/>
      <c r="E2" s="63"/>
      <c r="F2" s="63"/>
      <c r="G2" s="63"/>
      <c r="H2" s="1"/>
      <c r="I2" s="1"/>
      <c r="J2" s="1"/>
      <c r="K2" s="1"/>
      <c r="L2" s="1"/>
      <c r="M2" s="1"/>
      <c r="N2" s="1"/>
      <c r="O2" s="1"/>
      <c r="P2" s="1"/>
      <c r="Q2" s="1"/>
      <c r="R2" s="1"/>
      <c r="S2" s="1"/>
      <c r="T2" s="1"/>
      <c r="U2" s="1"/>
      <c r="V2" s="1"/>
      <c r="W2" s="1"/>
      <c r="X2" s="1"/>
      <c r="Y2" s="1"/>
      <c r="Z2" s="1"/>
    </row>
    <row r="3" customFormat="false" ht="26.25" hidden="false" customHeight="true" outlineLevel="0" collapsed="false">
      <c r="A3" s="69" t="s">
        <v>55</v>
      </c>
      <c r="B3" s="69" t="s">
        <v>56</v>
      </c>
      <c r="C3" s="69" t="s">
        <v>313</v>
      </c>
      <c r="D3" s="69" t="s">
        <v>314</v>
      </c>
      <c r="E3" s="69" t="s">
        <v>315</v>
      </c>
      <c r="F3" s="69" t="s">
        <v>316</v>
      </c>
      <c r="G3" s="69" t="s">
        <v>317</v>
      </c>
      <c r="H3" s="1"/>
      <c r="I3" s="1"/>
      <c r="J3" s="1"/>
      <c r="K3" s="1"/>
      <c r="L3" s="1"/>
      <c r="M3" s="1"/>
      <c r="N3" s="1"/>
      <c r="O3" s="1"/>
      <c r="P3" s="1"/>
      <c r="Q3" s="1"/>
      <c r="R3" s="1"/>
      <c r="S3" s="1"/>
      <c r="T3" s="1"/>
      <c r="U3" s="1"/>
      <c r="V3" s="1"/>
      <c r="W3" s="1"/>
      <c r="X3" s="1"/>
      <c r="Y3" s="1"/>
      <c r="Z3" s="1"/>
    </row>
    <row r="4" customFormat="false" ht="15" hidden="false" customHeight="true" outlineLevel="0" collapsed="false">
      <c r="A4" s="55" t="n">
        <v>1</v>
      </c>
      <c r="B4" s="56" t="s">
        <v>341</v>
      </c>
      <c r="C4" s="56" t="s">
        <v>321</v>
      </c>
      <c r="D4" s="57" t="n">
        <v>1</v>
      </c>
      <c r="E4" s="57" t="n">
        <v>1</v>
      </c>
      <c r="F4" s="70" t="n">
        <f aca="false">D4/2145</f>
        <v>0.000466200466200466</v>
      </c>
      <c r="G4" s="71" t="n">
        <f aca="false">IF(D4&gt;0,E4/D4,0)</f>
        <v>1</v>
      </c>
      <c r="H4" s="1"/>
      <c r="I4" s="1"/>
      <c r="J4" s="1"/>
      <c r="K4" s="1"/>
      <c r="L4" s="1"/>
      <c r="M4" s="1"/>
      <c r="N4" s="1"/>
      <c r="O4" s="1"/>
      <c r="P4" s="1"/>
      <c r="Q4" s="1"/>
      <c r="R4" s="1"/>
      <c r="S4" s="1"/>
      <c r="T4" s="1"/>
      <c r="U4" s="1"/>
      <c r="V4" s="1"/>
      <c r="W4" s="1"/>
      <c r="X4" s="1"/>
      <c r="Y4" s="1"/>
      <c r="Z4" s="1"/>
    </row>
    <row r="5" customFormat="false" ht="15" hidden="false" customHeight="true" outlineLevel="0" collapsed="false">
      <c r="A5" s="55" t="n">
        <v>2</v>
      </c>
      <c r="B5" s="56" t="s">
        <v>342</v>
      </c>
      <c r="C5" s="56" t="s">
        <v>325</v>
      </c>
      <c r="D5" s="57" t="n">
        <v>1</v>
      </c>
      <c r="E5" s="57" t="n">
        <v>0.92</v>
      </c>
      <c r="F5" s="70" t="n">
        <f aca="false">D5/2145</f>
        <v>0.000466200466200466</v>
      </c>
      <c r="G5" s="71" t="n">
        <f aca="false">IF(D5&gt;0,E5/D5,0)</f>
        <v>0.92</v>
      </c>
      <c r="H5" s="1"/>
      <c r="I5" s="1"/>
      <c r="J5" s="1"/>
      <c r="K5" s="1"/>
      <c r="L5" s="1"/>
      <c r="M5" s="1"/>
      <c r="N5" s="1"/>
      <c r="O5" s="1"/>
      <c r="P5" s="1"/>
      <c r="Q5" s="1"/>
      <c r="R5" s="1"/>
      <c r="S5" s="1"/>
      <c r="T5" s="1"/>
      <c r="U5" s="1"/>
      <c r="V5" s="1"/>
      <c r="W5" s="1"/>
      <c r="X5" s="1"/>
      <c r="Y5" s="1"/>
      <c r="Z5" s="1"/>
    </row>
    <row r="6" customFormat="false" ht="15" hidden="false" customHeight="true" outlineLevel="0" collapsed="false">
      <c r="A6" s="55" t="n">
        <v>3</v>
      </c>
      <c r="B6" s="56" t="s">
        <v>343</v>
      </c>
      <c r="C6" s="56" t="s">
        <v>329</v>
      </c>
      <c r="D6" s="57" t="n">
        <v>1</v>
      </c>
      <c r="E6" s="57" t="n">
        <v>0.08</v>
      </c>
      <c r="F6" s="70" t="n">
        <f aca="false">D6/2145</f>
        <v>0.000466200466200466</v>
      </c>
      <c r="G6" s="71" t="n">
        <f aca="false">IF(D6&gt;0,E6/D6,0)</f>
        <v>0.08</v>
      </c>
      <c r="H6" s="1"/>
      <c r="I6" s="1"/>
      <c r="J6" s="1"/>
      <c r="K6" s="1"/>
      <c r="L6" s="1"/>
      <c r="M6" s="1"/>
      <c r="N6" s="1"/>
      <c r="O6" s="1"/>
      <c r="P6" s="1"/>
      <c r="Q6" s="1"/>
      <c r="R6" s="1"/>
      <c r="S6" s="1"/>
      <c r="T6" s="1"/>
      <c r="U6" s="1"/>
      <c r="V6" s="1"/>
      <c r="W6" s="1"/>
      <c r="X6" s="1"/>
      <c r="Y6" s="1"/>
      <c r="Z6" s="1"/>
    </row>
    <row r="7" customFormat="false" ht="15" hidden="false" customHeight="true" outlineLevel="0" collapsed="false">
      <c r="A7" s="28" t="n">
        <v>4</v>
      </c>
      <c r="B7" s="29" t="s">
        <v>344</v>
      </c>
      <c r="C7" s="29" t="s">
        <v>329</v>
      </c>
      <c r="D7" s="30" t="n">
        <v>6</v>
      </c>
      <c r="E7" s="30" t="n">
        <v>3.25</v>
      </c>
      <c r="F7" s="70" t="n">
        <f aca="false">D7/2145</f>
        <v>0.0027972027972028</v>
      </c>
      <c r="G7" s="71" t="n">
        <f aca="false">IF(D7&gt;0,E7/D7,0)</f>
        <v>0.541666666666667</v>
      </c>
      <c r="H7" s="1"/>
      <c r="I7" s="1"/>
      <c r="J7" s="1"/>
      <c r="K7" s="1"/>
      <c r="L7" s="1"/>
      <c r="M7" s="1"/>
      <c r="N7" s="1"/>
      <c r="O7" s="1"/>
      <c r="P7" s="1"/>
      <c r="Q7" s="1"/>
      <c r="R7" s="1"/>
      <c r="S7" s="1"/>
      <c r="T7" s="1"/>
      <c r="U7" s="1"/>
      <c r="V7" s="1"/>
      <c r="W7" s="1"/>
      <c r="X7" s="1"/>
      <c r="Y7" s="1"/>
      <c r="Z7" s="1"/>
    </row>
    <row r="8" customFormat="false" ht="15" hidden="false" customHeight="true" outlineLevel="0" collapsed="false">
      <c r="A8" s="23" t="n">
        <v>5</v>
      </c>
      <c r="B8" s="24" t="s">
        <v>345</v>
      </c>
      <c r="C8" s="24" t="s">
        <v>321</v>
      </c>
      <c r="D8" s="25" t="n">
        <v>6</v>
      </c>
      <c r="E8" s="25" t="n">
        <v>4.75</v>
      </c>
      <c r="F8" s="70" t="n">
        <f aca="false">D8/2145</f>
        <v>0.0027972027972028</v>
      </c>
      <c r="G8" s="71" t="n">
        <f aca="false">IF(D8&gt;0,E8/D8,0)</f>
        <v>0.791666666666667</v>
      </c>
      <c r="H8" s="1"/>
      <c r="I8" s="1"/>
      <c r="J8" s="1"/>
      <c r="K8" s="1"/>
      <c r="L8" s="1"/>
      <c r="M8" s="1"/>
      <c r="N8" s="1"/>
      <c r="O8" s="1"/>
      <c r="P8" s="1"/>
      <c r="Q8" s="1"/>
      <c r="R8" s="1"/>
      <c r="S8" s="1"/>
      <c r="T8" s="1"/>
      <c r="U8" s="1"/>
      <c r="V8" s="1"/>
      <c r="W8" s="1"/>
      <c r="X8" s="1"/>
      <c r="Y8" s="1"/>
      <c r="Z8" s="1"/>
    </row>
    <row r="9" customFormat="false" ht="15" hidden="false" customHeight="true" outlineLevel="0" collapsed="false">
      <c r="A9" s="28" t="n">
        <v>6</v>
      </c>
      <c r="B9" s="29" t="s">
        <v>346</v>
      </c>
      <c r="C9" s="29" t="s">
        <v>329</v>
      </c>
      <c r="D9" s="30" t="n">
        <v>7</v>
      </c>
      <c r="E9" s="30" t="n">
        <v>9</v>
      </c>
      <c r="F9" s="70" t="n">
        <f aca="false">D9/2145</f>
        <v>0.00326340326340326</v>
      </c>
      <c r="G9" s="71" t="n">
        <f aca="false">IF(D9&gt;0,E9/D9,0)</f>
        <v>1.28571428571429</v>
      </c>
      <c r="H9" s="1"/>
      <c r="I9" s="1"/>
      <c r="J9" s="1"/>
      <c r="K9" s="1"/>
      <c r="L9" s="1"/>
      <c r="M9" s="1"/>
      <c r="N9" s="1"/>
      <c r="O9" s="1"/>
      <c r="P9" s="1"/>
      <c r="Q9" s="1"/>
      <c r="R9" s="1"/>
      <c r="S9" s="1"/>
      <c r="T9" s="1"/>
      <c r="U9" s="1"/>
      <c r="V9" s="1"/>
      <c r="W9" s="1"/>
      <c r="X9" s="1"/>
      <c r="Y9" s="1"/>
      <c r="Z9" s="1"/>
    </row>
    <row r="10" customFormat="false" ht="15" hidden="false" customHeight="true" outlineLevel="0" collapsed="false">
      <c r="A10" s="23" t="n">
        <v>7</v>
      </c>
      <c r="B10" s="24" t="s">
        <v>347</v>
      </c>
      <c r="C10" s="24" t="s">
        <v>321</v>
      </c>
      <c r="D10" s="25" t="n">
        <v>7</v>
      </c>
      <c r="E10" s="25" t="n">
        <v>23.25</v>
      </c>
      <c r="F10" s="70" t="n">
        <f aca="false">D10/2145</f>
        <v>0.00326340326340326</v>
      </c>
      <c r="G10" s="71" t="n">
        <f aca="false">IF(D10&gt;0,E10/D10,0)</f>
        <v>3.32142857142857</v>
      </c>
      <c r="H10" s="1"/>
      <c r="I10" s="1"/>
      <c r="J10" s="1"/>
      <c r="K10" s="1"/>
      <c r="L10" s="1"/>
      <c r="M10" s="1"/>
      <c r="N10" s="1"/>
      <c r="O10" s="1"/>
      <c r="P10" s="1"/>
      <c r="Q10" s="1"/>
      <c r="R10" s="1"/>
      <c r="S10" s="1"/>
      <c r="T10" s="1"/>
      <c r="U10" s="1"/>
      <c r="V10" s="1"/>
      <c r="W10" s="1"/>
      <c r="X10" s="1"/>
      <c r="Y10" s="1"/>
      <c r="Z10" s="1"/>
    </row>
    <row r="11" customFormat="false" ht="15" hidden="false" customHeight="true" outlineLevel="0" collapsed="false">
      <c r="A11" s="28" t="n">
        <v>8</v>
      </c>
      <c r="B11" s="29" t="s">
        <v>348</v>
      </c>
      <c r="C11" s="29" t="s">
        <v>329</v>
      </c>
      <c r="D11" s="30" t="n">
        <v>8</v>
      </c>
      <c r="E11" s="30" t="n">
        <v>15</v>
      </c>
      <c r="F11" s="70" t="n">
        <f aca="false">D11/2145</f>
        <v>0.00372960372960373</v>
      </c>
      <c r="G11" s="71" t="n">
        <f aca="false">IF(D11&gt;0,E11/D11,0)</f>
        <v>1.875</v>
      </c>
      <c r="H11" s="1"/>
      <c r="I11" s="1"/>
      <c r="J11" s="1"/>
      <c r="K11" s="1"/>
      <c r="L11" s="1"/>
      <c r="M11" s="1"/>
      <c r="N11" s="1"/>
      <c r="O11" s="1"/>
      <c r="P11" s="1"/>
      <c r="Q11" s="1"/>
      <c r="R11" s="1"/>
      <c r="S11" s="1"/>
      <c r="T11" s="1"/>
      <c r="U11" s="1"/>
      <c r="V11" s="1"/>
      <c r="W11" s="1"/>
      <c r="X11" s="1"/>
      <c r="Y11" s="1"/>
      <c r="Z11" s="1"/>
    </row>
    <row r="12" customFormat="false" ht="15" hidden="false" customHeight="true" outlineLevel="0" collapsed="false">
      <c r="A12" s="23" t="n">
        <v>9</v>
      </c>
      <c r="B12" s="24" t="s">
        <v>349</v>
      </c>
      <c r="C12" s="24" t="s">
        <v>325</v>
      </c>
      <c r="D12" s="25" t="n">
        <v>10</v>
      </c>
      <c r="E12" s="25" t="n">
        <v>18</v>
      </c>
      <c r="F12" s="70" t="n">
        <f aca="false">D12/2145</f>
        <v>0.00466200466200466</v>
      </c>
      <c r="G12" s="71" t="n">
        <f aca="false">IF(D12&gt;0,E12/D12,0)</f>
        <v>1.8</v>
      </c>
      <c r="H12" s="1"/>
      <c r="I12" s="1"/>
      <c r="J12" s="1"/>
      <c r="K12" s="1"/>
      <c r="L12" s="1"/>
      <c r="M12" s="1"/>
      <c r="N12" s="1"/>
      <c r="O12" s="1"/>
      <c r="P12" s="1"/>
      <c r="Q12" s="1"/>
      <c r="R12" s="1"/>
      <c r="S12" s="1"/>
      <c r="T12" s="1"/>
      <c r="U12" s="1"/>
      <c r="V12" s="1"/>
      <c r="W12" s="1"/>
      <c r="X12" s="1"/>
      <c r="Y12" s="1"/>
      <c r="Z12" s="1"/>
    </row>
    <row r="13" customFormat="false" ht="15" hidden="false" customHeight="true" outlineLevel="0" collapsed="false">
      <c r="A13" s="28" t="n">
        <v>10</v>
      </c>
      <c r="B13" s="29" t="s">
        <v>350</v>
      </c>
      <c r="C13" s="29" t="s">
        <v>329</v>
      </c>
      <c r="D13" s="30" t="n">
        <v>12</v>
      </c>
      <c r="E13" s="30" t="n">
        <v>3.16</v>
      </c>
      <c r="F13" s="70" t="n">
        <f aca="false">D13/2145</f>
        <v>0.00559440559440559</v>
      </c>
      <c r="G13" s="71" t="n">
        <f aca="false">IF(D13&gt;0,E13/D13,0)</f>
        <v>0.263333333333333</v>
      </c>
      <c r="H13" s="1"/>
      <c r="I13" s="1"/>
      <c r="J13" s="1"/>
      <c r="K13" s="1"/>
      <c r="L13" s="1"/>
      <c r="M13" s="1"/>
      <c r="N13" s="1"/>
      <c r="O13" s="1"/>
      <c r="P13" s="1"/>
      <c r="Q13" s="1"/>
      <c r="R13" s="1"/>
      <c r="S13" s="1"/>
      <c r="T13" s="1"/>
      <c r="U13" s="1"/>
      <c r="V13" s="1"/>
      <c r="W13" s="1"/>
      <c r="X13" s="1"/>
      <c r="Y13" s="1"/>
      <c r="Z13" s="1"/>
    </row>
    <row r="14" customFormat="false" ht="15" hidden="false" customHeight="true" outlineLevel="0" collapsed="false">
      <c r="H14" s="1"/>
      <c r="I14" s="1"/>
      <c r="J14" s="1"/>
      <c r="K14" s="1"/>
      <c r="L14" s="1"/>
      <c r="M14" s="1"/>
      <c r="N14" s="1"/>
      <c r="O14" s="1"/>
      <c r="P14" s="1"/>
      <c r="Q14" s="1"/>
      <c r="R14" s="1"/>
      <c r="S14" s="1"/>
      <c r="T14" s="1"/>
      <c r="U14" s="1"/>
      <c r="V14" s="1"/>
      <c r="W14" s="1"/>
      <c r="X14" s="1"/>
      <c r="Y14" s="1"/>
      <c r="Z14" s="1"/>
    </row>
    <row r="15" customFormat="false" ht="15.75" hidden="false" customHeight="true" outlineLevel="0" collapsed="false">
      <c r="A15" s="45" t="s">
        <v>159</v>
      </c>
      <c r="B15" s="45"/>
      <c r="C15" s="45"/>
      <c r="D15" s="45"/>
      <c r="E15" s="45"/>
      <c r="F15" s="45"/>
      <c r="G15" s="45"/>
      <c r="H15" s="1"/>
      <c r="I15" s="1"/>
      <c r="J15" s="1"/>
      <c r="K15" s="1"/>
      <c r="L15" s="1"/>
      <c r="M15" s="1"/>
      <c r="N15" s="1"/>
      <c r="O15" s="1"/>
      <c r="P15" s="1"/>
      <c r="Q15" s="1"/>
      <c r="R15" s="1"/>
      <c r="S15" s="1"/>
      <c r="T15" s="1"/>
      <c r="U15" s="1"/>
      <c r="V15" s="1"/>
      <c r="W15" s="1"/>
      <c r="X15" s="1"/>
      <c r="Y15" s="1"/>
      <c r="Z15" s="1"/>
    </row>
    <row r="16" customFormat="false" ht="15.75" hidden="false" customHeight="true" outlineLevel="0" collapsed="false">
      <c r="A16" s="66" t="s">
        <v>333</v>
      </c>
      <c r="B16" s="66"/>
      <c r="C16" s="66"/>
      <c r="D16" s="66"/>
      <c r="E16" s="66"/>
      <c r="F16" s="66"/>
      <c r="G16" s="66"/>
      <c r="H16" s="1"/>
      <c r="I16" s="1"/>
      <c r="J16" s="1"/>
      <c r="K16" s="1"/>
      <c r="L16" s="1"/>
      <c r="M16" s="1"/>
      <c r="N16" s="1"/>
      <c r="O16" s="1"/>
      <c r="P16" s="1"/>
      <c r="Q16" s="1"/>
      <c r="R16" s="1"/>
      <c r="S16" s="1"/>
      <c r="T16" s="1"/>
      <c r="U16" s="1"/>
      <c r="V16" s="1"/>
      <c r="W16" s="1"/>
      <c r="X16" s="1"/>
      <c r="Y16" s="1"/>
      <c r="Z16" s="1"/>
    </row>
    <row r="17" customFormat="false" ht="15.75" hidden="false" customHeight="true" outlineLevel="0" collapsed="false">
      <c r="A17" s="46" t="s">
        <v>334</v>
      </c>
      <c r="B17" s="46"/>
      <c r="C17" s="46"/>
      <c r="D17" s="46"/>
      <c r="E17" s="46"/>
      <c r="F17" s="46"/>
      <c r="G17" s="46"/>
      <c r="H17" s="1"/>
      <c r="I17" s="1"/>
      <c r="J17" s="1"/>
      <c r="K17" s="1"/>
      <c r="L17" s="1"/>
      <c r="M17" s="1"/>
      <c r="N17" s="1"/>
      <c r="O17" s="1"/>
      <c r="P17" s="1"/>
      <c r="Q17" s="1"/>
      <c r="R17" s="1"/>
      <c r="S17" s="1"/>
      <c r="T17" s="1"/>
      <c r="U17" s="1"/>
      <c r="V17" s="1"/>
      <c r="W17" s="1"/>
      <c r="X17" s="1"/>
      <c r="Y17" s="1"/>
      <c r="Z17" s="1"/>
    </row>
    <row r="18" customFormat="false" ht="15.75" hidden="false" customHeight="true" outlineLevel="0" collapsed="false">
      <c r="A18" s="46" t="s">
        <v>335</v>
      </c>
      <c r="B18" s="46"/>
      <c r="C18" s="46"/>
      <c r="D18" s="46"/>
      <c r="E18" s="46"/>
      <c r="F18" s="46"/>
      <c r="G18" s="46"/>
      <c r="H18" s="1"/>
      <c r="I18" s="1"/>
      <c r="J18" s="1"/>
      <c r="K18" s="1"/>
      <c r="L18" s="1"/>
      <c r="M18" s="1"/>
      <c r="N18" s="1"/>
      <c r="O18" s="1"/>
      <c r="P18" s="1"/>
      <c r="Q18" s="1"/>
      <c r="R18" s="1"/>
      <c r="S18" s="1"/>
      <c r="T18" s="1"/>
      <c r="U18" s="1"/>
      <c r="V18" s="1"/>
      <c r="W18" s="1"/>
      <c r="X18" s="1"/>
      <c r="Y18" s="1"/>
      <c r="Z18" s="1"/>
    </row>
    <row r="19" customFormat="false" ht="15.75" hidden="false" customHeight="true" outlineLevel="0" collapsed="false">
      <c r="A19" s="46" t="s">
        <v>336</v>
      </c>
      <c r="B19" s="46"/>
      <c r="C19" s="46"/>
      <c r="D19" s="46"/>
      <c r="E19" s="46"/>
      <c r="F19" s="46"/>
      <c r="G19" s="46"/>
      <c r="H19" s="1"/>
      <c r="I19" s="1"/>
      <c r="J19" s="1"/>
      <c r="K19" s="1"/>
      <c r="L19" s="1"/>
      <c r="M19" s="1"/>
      <c r="N19" s="1"/>
      <c r="O19" s="1"/>
      <c r="P19" s="1"/>
      <c r="Q19" s="1"/>
      <c r="R19" s="1"/>
      <c r="S19" s="1"/>
      <c r="T19" s="1"/>
      <c r="U19" s="1"/>
      <c r="V19" s="1"/>
      <c r="W19" s="1"/>
      <c r="X19" s="1"/>
      <c r="Y19" s="1"/>
      <c r="Z19" s="1"/>
    </row>
    <row r="20" customFormat="false" ht="15.75" hidden="false" customHeight="true" outlineLevel="0" collapsed="false">
      <c r="A20" s="46" t="s">
        <v>351</v>
      </c>
      <c r="B20" s="46"/>
      <c r="C20" s="46"/>
      <c r="D20" s="46"/>
      <c r="E20" s="46"/>
      <c r="F20" s="46"/>
      <c r="G20" s="46"/>
      <c r="H20" s="1"/>
      <c r="I20" s="1"/>
      <c r="J20" s="1"/>
      <c r="K20" s="1"/>
      <c r="L20" s="1"/>
      <c r="M20" s="1"/>
      <c r="N20" s="1"/>
      <c r="O20" s="1"/>
      <c r="P20" s="1"/>
      <c r="Q20" s="1"/>
      <c r="R20" s="1"/>
      <c r="S20" s="1"/>
      <c r="T20" s="1"/>
      <c r="U20" s="1"/>
      <c r="V20" s="1"/>
      <c r="W20" s="1"/>
      <c r="X20" s="1"/>
      <c r="Y20" s="1"/>
      <c r="Z20" s="1"/>
    </row>
    <row r="21" customFormat="false" ht="15.75" hidden="false" customHeight="true" outlineLevel="0" collapsed="false">
      <c r="A21" s="46" t="s">
        <v>352</v>
      </c>
      <c r="B21" s="46"/>
      <c r="C21" s="46"/>
      <c r="D21" s="46"/>
      <c r="E21" s="46"/>
      <c r="F21" s="46"/>
      <c r="G21" s="46"/>
      <c r="H21" s="1"/>
      <c r="I21" s="1"/>
      <c r="J21" s="1"/>
      <c r="K21" s="1"/>
      <c r="L21" s="1"/>
      <c r="M21" s="1"/>
      <c r="N21" s="1"/>
      <c r="O21" s="1"/>
      <c r="P21" s="1"/>
      <c r="Q21" s="1"/>
      <c r="R21" s="1"/>
      <c r="S21" s="1"/>
      <c r="T21" s="1"/>
      <c r="U21" s="1"/>
      <c r="V21" s="1"/>
      <c r="W21" s="1"/>
      <c r="X21" s="1"/>
      <c r="Y21" s="1"/>
      <c r="Z21" s="1"/>
    </row>
    <row r="22" customFormat="false" ht="15.75" hidden="false" customHeight="true" outlineLevel="0" collapsed="false">
      <c r="A22" s="72" t="s">
        <v>353</v>
      </c>
      <c r="H22" s="1"/>
      <c r="I22" s="1"/>
      <c r="J22" s="1"/>
      <c r="K22" s="1"/>
      <c r="L22" s="1"/>
      <c r="M22" s="1"/>
      <c r="N22" s="1"/>
      <c r="O22" s="1"/>
      <c r="P22" s="1"/>
      <c r="Q22" s="1"/>
      <c r="R22" s="1"/>
      <c r="S22" s="1"/>
      <c r="T22" s="1"/>
      <c r="U22" s="1"/>
      <c r="V22" s="1"/>
      <c r="W22" s="1"/>
      <c r="X22" s="1"/>
      <c r="Y22" s="1"/>
      <c r="Z22" s="1"/>
    </row>
    <row r="23" customFormat="false" ht="15.75" hidden="false" customHeight="true" outlineLevel="0" collapsed="false">
      <c r="H23" s="1"/>
      <c r="I23" s="1"/>
      <c r="J23" s="1"/>
      <c r="K23" s="1"/>
      <c r="L23" s="1"/>
      <c r="M23" s="1"/>
      <c r="N23" s="1"/>
      <c r="O23" s="1"/>
      <c r="P23" s="1"/>
      <c r="Q23" s="1"/>
      <c r="R23" s="1"/>
      <c r="S23" s="1"/>
      <c r="T23" s="1"/>
      <c r="U23" s="1"/>
      <c r="V23" s="1"/>
      <c r="W23" s="1"/>
      <c r="X23" s="1"/>
      <c r="Y23" s="1"/>
      <c r="Z23" s="1"/>
    </row>
    <row r="24" customFormat="false" ht="15.75" hidden="false" customHeight="true" outlineLevel="0" collapsed="false">
      <c r="H24" s="1"/>
      <c r="I24" s="1"/>
      <c r="J24" s="1"/>
      <c r="K24" s="1"/>
      <c r="L24" s="1"/>
      <c r="M24" s="1"/>
      <c r="N24" s="1"/>
      <c r="O24" s="1"/>
      <c r="P24" s="1"/>
      <c r="Q24" s="1"/>
      <c r="R24" s="1"/>
      <c r="S24" s="1"/>
      <c r="T24" s="1"/>
      <c r="U24" s="1"/>
      <c r="V24" s="1"/>
      <c r="W24" s="1"/>
      <c r="X24" s="1"/>
      <c r="Y24" s="1"/>
      <c r="Z24" s="1"/>
    </row>
    <row r="25" customFormat="false" ht="15.75" hidden="false" customHeight="true" outlineLevel="0" collapsed="false">
      <c r="H25" s="1"/>
      <c r="I25" s="1"/>
      <c r="J25" s="1"/>
      <c r="K25" s="1"/>
      <c r="L25" s="1"/>
      <c r="M25" s="1"/>
      <c r="N25" s="1"/>
      <c r="O25" s="1"/>
      <c r="P25" s="1"/>
      <c r="Q25" s="1"/>
      <c r="R25" s="1"/>
      <c r="S25" s="1"/>
      <c r="T25" s="1"/>
      <c r="U25" s="1"/>
      <c r="V25" s="1"/>
      <c r="W25" s="1"/>
      <c r="X25" s="1"/>
      <c r="Y25" s="1"/>
      <c r="Z25" s="1"/>
    </row>
    <row r="26" customFormat="false" ht="15.75" hidden="false" customHeight="true" outlineLevel="0" collapsed="false">
      <c r="H26" s="1"/>
      <c r="I26" s="1"/>
      <c r="J26" s="1"/>
      <c r="K26" s="1"/>
      <c r="L26" s="1"/>
      <c r="M26" s="1"/>
      <c r="N26" s="1"/>
      <c r="O26" s="1"/>
      <c r="P26" s="1"/>
      <c r="Q26" s="1"/>
      <c r="R26" s="1"/>
      <c r="S26" s="1"/>
      <c r="T26" s="1"/>
      <c r="U26" s="1"/>
      <c r="V26" s="1"/>
      <c r="W26" s="1"/>
      <c r="X26" s="1"/>
      <c r="Y26" s="1"/>
      <c r="Z26" s="1"/>
    </row>
    <row r="27" customFormat="false" ht="15.75" hidden="false" customHeight="true" outlineLevel="0" collapsed="false">
      <c r="H27" s="1"/>
      <c r="I27" s="1"/>
      <c r="J27" s="1"/>
      <c r="K27" s="1"/>
      <c r="L27" s="1"/>
      <c r="M27" s="1"/>
      <c r="N27" s="1"/>
      <c r="O27" s="1"/>
      <c r="P27" s="1"/>
      <c r="Q27" s="1"/>
      <c r="R27" s="1"/>
      <c r="S27" s="1"/>
      <c r="T27" s="1"/>
      <c r="U27" s="1"/>
      <c r="V27" s="1"/>
      <c r="W27" s="1"/>
      <c r="X27" s="1"/>
      <c r="Y27" s="1"/>
      <c r="Z27" s="1"/>
    </row>
    <row r="28" customFormat="false" ht="15.75" hidden="false" customHeight="true" outlineLevel="0" collapsed="false">
      <c r="H28" s="1"/>
      <c r="I28" s="1"/>
      <c r="J28" s="1"/>
      <c r="K28" s="1"/>
      <c r="L28" s="1"/>
      <c r="M28" s="1"/>
      <c r="N28" s="1"/>
      <c r="O28" s="1"/>
      <c r="P28" s="1"/>
      <c r="Q28" s="1"/>
      <c r="R28" s="1"/>
      <c r="S28" s="1"/>
      <c r="T28" s="1"/>
      <c r="U28" s="1"/>
      <c r="V28" s="1"/>
      <c r="W28" s="1"/>
      <c r="X28" s="1"/>
      <c r="Y28" s="1"/>
      <c r="Z28" s="1"/>
    </row>
    <row r="29" customFormat="false" ht="15.75" hidden="false" customHeight="true" outlineLevel="0" collapsed="false">
      <c r="H29" s="1"/>
      <c r="I29" s="1"/>
      <c r="J29" s="1"/>
      <c r="K29" s="1"/>
      <c r="L29" s="1"/>
      <c r="M29" s="1"/>
      <c r="N29" s="1"/>
      <c r="O29" s="1"/>
      <c r="P29" s="1"/>
      <c r="Q29" s="1"/>
      <c r="R29" s="1"/>
      <c r="S29" s="1"/>
      <c r="T29" s="1"/>
      <c r="U29" s="1"/>
      <c r="V29" s="1"/>
      <c r="W29" s="1"/>
      <c r="X29" s="1"/>
      <c r="Y29" s="1"/>
      <c r="Z29" s="1"/>
    </row>
    <row r="30" customFormat="false" ht="15.75" hidden="false" customHeight="true" outlineLevel="0" collapsed="false">
      <c r="H30" s="1"/>
      <c r="I30" s="1"/>
      <c r="J30" s="1"/>
      <c r="K30" s="1"/>
      <c r="L30" s="1"/>
      <c r="M30" s="1"/>
      <c r="N30" s="1"/>
      <c r="O30" s="1"/>
      <c r="P30" s="1"/>
      <c r="Q30" s="1"/>
      <c r="R30" s="1"/>
      <c r="S30" s="1"/>
      <c r="T30" s="1"/>
      <c r="U30" s="1"/>
      <c r="V30" s="1"/>
      <c r="W30" s="1"/>
      <c r="X30" s="1"/>
      <c r="Y30" s="1"/>
      <c r="Z30" s="1"/>
    </row>
    <row r="31" customFormat="false" ht="15.75" hidden="false" customHeight="true" outlineLevel="0" collapsed="false">
      <c r="H31" s="1"/>
      <c r="I31" s="1"/>
      <c r="J31" s="1"/>
      <c r="K31" s="1"/>
      <c r="L31" s="1"/>
      <c r="M31" s="1"/>
      <c r="N31" s="1"/>
      <c r="O31" s="1"/>
      <c r="P31" s="1"/>
      <c r="Q31" s="1"/>
      <c r="R31" s="1"/>
      <c r="S31" s="1"/>
      <c r="T31" s="1"/>
      <c r="U31" s="1"/>
      <c r="V31" s="1"/>
      <c r="W31" s="1"/>
      <c r="X31" s="1"/>
      <c r="Y31" s="1"/>
      <c r="Z31" s="1"/>
    </row>
    <row r="32" customFormat="false" ht="15.75" hidden="false" customHeight="true" outlineLevel="0" collapsed="false">
      <c r="H32" s="1"/>
      <c r="I32" s="1"/>
      <c r="J32" s="1"/>
      <c r="K32" s="1"/>
      <c r="L32" s="1"/>
      <c r="M32" s="1"/>
      <c r="N32" s="1"/>
      <c r="O32" s="1"/>
      <c r="P32" s="1"/>
      <c r="Q32" s="1"/>
      <c r="R32" s="1"/>
      <c r="S32" s="1"/>
      <c r="T32" s="1"/>
      <c r="U32" s="1"/>
      <c r="V32" s="1"/>
      <c r="W32" s="1"/>
      <c r="X32" s="1"/>
      <c r="Y32" s="1"/>
      <c r="Z32" s="1"/>
    </row>
    <row r="33" customFormat="false" ht="15.75" hidden="false" customHeight="true" outlineLevel="0" collapsed="false">
      <c r="H33" s="1"/>
      <c r="I33" s="1"/>
      <c r="J33" s="1"/>
      <c r="K33" s="1"/>
      <c r="L33" s="1"/>
      <c r="M33" s="1"/>
      <c r="N33" s="1"/>
      <c r="O33" s="1"/>
      <c r="P33" s="1"/>
      <c r="Q33" s="1"/>
      <c r="R33" s="1"/>
      <c r="S33" s="1"/>
      <c r="T33" s="1"/>
      <c r="U33" s="1"/>
      <c r="V33" s="1"/>
      <c r="W33" s="1"/>
      <c r="X33" s="1"/>
      <c r="Y33" s="1"/>
      <c r="Z33" s="1"/>
    </row>
    <row r="34" customFormat="false" ht="15.75" hidden="false" customHeight="true" outlineLevel="0" collapsed="false">
      <c r="H34" s="1"/>
      <c r="I34" s="1"/>
      <c r="J34" s="1"/>
      <c r="K34" s="1"/>
      <c r="L34" s="1"/>
      <c r="M34" s="1"/>
      <c r="N34" s="1"/>
      <c r="O34" s="1"/>
      <c r="P34" s="1"/>
      <c r="Q34" s="1"/>
      <c r="R34" s="1"/>
      <c r="S34" s="1"/>
      <c r="T34" s="1"/>
      <c r="U34" s="1"/>
      <c r="V34" s="1"/>
      <c r="W34" s="1"/>
      <c r="X34" s="1"/>
      <c r="Y34" s="1"/>
      <c r="Z34" s="1"/>
    </row>
    <row r="35" customFormat="false" ht="15.75" hidden="false" customHeight="true" outlineLevel="0" collapsed="false">
      <c r="H35" s="1"/>
      <c r="I35" s="1"/>
      <c r="J35" s="1"/>
      <c r="K35" s="1"/>
      <c r="L35" s="1"/>
      <c r="M35" s="1"/>
      <c r="N35" s="1"/>
      <c r="O35" s="1"/>
      <c r="P35" s="1"/>
      <c r="Q35" s="1"/>
      <c r="R35" s="1"/>
      <c r="S35" s="1"/>
      <c r="T35" s="1"/>
      <c r="U35" s="1"/>
      <c r="V35" s="1"/>
      <c r="W35" s="1"/>
      <c r="X35" s="1"/>
      <c r="Y35" s="1"/>
      <c r="Z35" s="1"/>
    </row>
    <row r="36" customFormat="false" ht="15.75" hidden="false" customHeight="true" outlineLevel="0" collapsed="false">
      <c r="H36" s="1"/>
      <c r="I36" s="1"/>
      <c r="J36" s="1"/>
      <c r="K36" s="1"/>
      <c r="L36" s="1"/>
      <c r="M36" s="1"/>
      <c r="N36" s="1"/>
      <c r="O36" s="1"/>
      <c r="P36" s="1"/>
      <c r="Q36" s="1"/>
      <c r="R36" s="1"/>
      <c r="S36" s="1"/>
      <c r="T36" s="1"/>
      <c r="U36" s="1"/>
      <c r="V36" s="1"/>
      <c r="W36" s="1"/>
      <c r="X36" s="1"/>
      <c r="Y36" s="1"/>
      <c r="Z36" s="1"/>
    </row>
    <row r="37" customFormat="false" ht="15.75" hidden="false" customHeight="true" outlineLevel="0" collapsed="false">
      <c r="H37" s="1"/>
      <c r="I37" s="1"/>
      <c r="J37" s="1"/>
      <c r="K37" s="1"/>
      <c r="L37" s="1"/>
      <c r="M37" s="1"/>
      <c r="N37" s="1"/>
      <c r="O37" s="1"/>
      <c r="P37" s="1"/>
      <c r="Q37" s="1"/>
      <c r="R37" s="1"/>
      <c r="S37" s="1"/>
      <c r="T37" s="1"/>
      <c r="U37" s="1"/>
      <c r="V37" s="1"/>
      <c r="W37" s="1"/>
      <c r="X37" s="1"/>
      <c r="Y37" s="1"/>
      <c r="Z37" s="1"/>
    </row>
    <row r="38" customFormat="false" ht="15.75" hidden="false" customHeight="true" outlineLevel="0" collapsed="false">
      <c r="H38" s="1"/>
      <c r="I38" s="1"/>
      <c r="J38" s="1"/>
      <c r="K38" s="1"/>
      <c r="L38" s="1"/>
      <c r="M38" s="1"/>
      <c r="N38" s="1"/>
      <c r="O38" s="1"/>
      <c r="P38" s="1"/>
      <c r="Q38" s="1"/>
      <c r="R38" s="1"/>
      <c r="S38" s="1"/>
      <c r="T38" s="1"/>
      <c r="U38" s="1"/>
      <c r="V38" s="1"/>
      <c r="W38" s="1"/>
      <c r="X38" s="1"/>
      <c r="Y38" s="1"/>
      <c r="Z38" s="1"/>
    </row>
    <row r="39" customFormat="false" ht="15.75" hidden="false" customHeight="true" outlineLevel="0" collapsed="false">
      <c r="H39" s="1"/>
      <c r="I39" s="1"/>
      <c r="J39" s="1"/>
      <c r="K39" s="1"/>
      <c r="L39" s="1"/>
      <c r="M39" s="1"/>
      <c r="N39" s="1"/>
      <c r="O39" s="1"/>
      <c r="P39" s="1"/>
      <c r="Q39" s="1"/>
      <c r="R39" s="1"/>
      <c r="S39" s="1"/>
      <c r="T39" s="1"/>
      <c r="U39" s="1"/>
      <c r="V39" s="1"/>
      <c r="W39" s="1"/>
      <c r="X39" s="1"/>
      <c r="Y39" s="1"/>
      <c r="Z39" s="1"/>
    </row>
    <row r="40" customFormat="false" ht="15.75" hidden="false" customHeight="true" outlineLevel="0" collapsed="false">
      <c r="H40" s="1"/>
      <c r="I40" s="1"/>
      <c r="J40" s="1"/>
      <c r="K40" s="1"/>
      <c r="L40" s="1"/>
      <c r="M40" s="1"/>
      <c r="N40" s="1"/>
      <c r="O40" s="1"/>
      <c r="P40" s="1"/>
      <c r="Q40" s="1"/>
      <c r="R40" s="1"/>
      <c r="S40" s="1"/>
      <c r="T40" s="1"/>
      <c r="U40" s="1"/>
      <c r="V40" s="1"/>
      <c r="W40" s="1"/>
      <c r="X40" s="1"/>
      <c r="Y40" s="1"/>
      <c r="Z40" s="1"/>
    </row>
    <row r="41" customFormat="false" ht="15.75" hidden="false" customHeight="true" outlineLevel="0" collapsed="false">
      <c r="H41" s="1"/>
      <c r="I41" s="1"/>
      <c r="J41" s="1"/>
      <c r="K41" s="1"/>
      <c r="L41" s="1"/>
      <c r="M41" s="1"/>
      <c r="N41" s="1"/>
      <c r="O41" s="1"/>
      <c r="P41" s="1"/>
      <c r="Q41" s="1"/>
      <c r="R41" s="1"/>
      <c r="S41" s="1"/>
      <c r="T41" s="1"/>
      <c r="U41" s="1"/>
      <c r="V41" s="1"/>
      <c r="W41" s="1"/>
      <c r="X41" s="1"/>
      <c r="Y41" s="1"/>
      <c r="Z41" s="1"/>
    </row>
    <row r="42" customFormat="false" ht="15.75" hidden="false" customHeight="true" outlineLevel="0" collapsed="false">
      <c r="H42" s="1"/>
      <c r="I42" s="1"/>
      <c r="J42" s="1"/>
      <c r="K42" s="1"/>
      <c r="L42" s="1"/>
      <c r="M42" s="1"/>
      <c r="N42" s="1"/>
      <c r="O42" s="1"/>
      <c r="P42" s="1"/>
      <c r="Q42" s="1"/>
      <c r="R42" s="1"/>
      <c r="S42" s="1"/>
      <c r="T42" s="1"/>
      <c r="U42" s="1"/>
      <c r="V42" s="1"/>
      <c r="W42" s="1"/>
      <c r="X42" s="1"/>
      <c r="Y42" s="1"/>
      <c r="Z42" s="1"/>
    </row>
    <row r="43" customFormat="false" ht="15.75" hidden="false" customHeight="true" outlineLevel="0" collapsed="false">
      <c r="H43" s="1"/>
      <c r="I43" s="1"/>
      <c r="J43" s="1"/>
      <c r="K43" s="1"/>
      <c r="L43" s="1"/>
      <c r="M43" s="1"/>
      <c r="N43" s="1"/>
      <c r="O43" s="1"/>
      <c r="P43" s="1"/>
      <c r="Q43" s="1"/>
      <c r="R43" s="1"/>
      <c r="S43" s="1"/>
      <c r="T43" s="1"/>
      <c r="U43" s="1"/>
      <c r="V43" s="1"/>
      <c r="W43" s="1"/>
      <c r="X43" s="1"/>
      <c r="Y43" s="1"/>
      <c r="Z43" s="1"/>
    </row>
    <row r="44" customFormat="false" ht="15.75" hidden="false" customHeight="true" outlineLevel="0" collapsed="false">
      <c r="H44" s="1"/>
      <c r="I44" s="1"/>
      <c r="J44" s="1"/>
      <c r="K44" s="1"/>
      <c r="L44" s="1"/>
      <c r="M44" s="1"/>
      <c r="N44" s="1"/>
      <c r="O44" s="1"/>
      <c r="P44" s="1"/>
      <c r="Q44" s="1"/>
      <c r="R44" s="1"/>
      <c r="S44" s="1"/>
      <c r="T44" s="1"/>
      <c r="U44" s="1"/>
      <c r="V44" s="1"/>
      <c r="W44" s="1"/>
      <c r="X44" s="1"/>
      <c r="Y44" s="1"/>
      <c r="Z44" s="1"/>
    </row>
    <row r="45" customFormat="false" ht="15.75" hidden="false" customHeight="true" outlineLevel="0" collapsed="false">
      <c r="H45" s="1"/>
      <c r="I45" s="1"/>
      <c r="J45" s="1"/>
      <c r="K45" s="1"/>
      <c r="L45" s="1"/>
      <c r="M45" s="1"/>
      <c r="N45" s="1"/>
      <c r="O45" s="1"/>
      <c r="P45" s="1"/>
      <c r="Q45" s="1"/>
      <c r="R45" s="1"/>
      <c r="S45" s="1"/>
      <c r="T45" s="1"/>
      <c r="U45" s="1"/>
      <c r="V45" s="1"/>
      <c r="W45" s="1"/>
      <c r="X45" s="1"/>
      <c r="Y45" s="1"/>
      <c r="Z45" s="1"/>
    </row>
    <row r="46" customFormat="false" ht="15.75" hidden="false" customHeight="true" outlineLevel="0" collapsed="false">
      <c r="H46" s="1"/>
      <c r="I46" s="1"/>
      <c r="J46" s="1"/>
      <c r="K46" s="1"/>
      <c r="L46" s="1"/>
      <c r="M46" s="1"/>
      <c r="N46" s="1"/>
      <c r="O46" s="1"/>
      <c r="P46" s="1"/>
      <c r="Q46" s="1"/>
      <c r="R46" s="1"/>
      <c r="S46" s="1"/>
      <c r="T46" s="1"/>
      <c r="U46" s="1"/>
      <c r="V46" s="1"/>
      <c r="W46" s="1"/>
      <c r="X46" s="1"/>
      <c r="Y46" s="1"/>
      <c r="Z46" s="1"/>
    </row>
    <row r="47" customFormat="false" ht="15.75" hidden="false" customHeight="true" outlineLevel="0" collapsed="false">
      <c r="H47" s="1"/>
      <c r="I47" s="1"/>
      <c r="J47" s="1"/>
      <c r="K47" s="1"/>
      <c r="L47" s="1"/>
      <c r="M47" s="1"/>
      <c r="N47" s="1"/>
      <c r="O47" s="1"/>
      <c r="P47" s="1"/>
      <c r="Q47" s="1"/>
      <c r="R47" s="1"/>
      <c r="S47" s="1"/>
      <c r="T47" s="1"/>
      <c r="U47" s="1"/>
      <c r="V47" s="1"/>
      <c r="W47" s="1"/>
      <c r="X47" s="1"/>
      <c r="Y47" s="1"/>
      <c r="Z47" s="1"/>
    </row>
    <row r="48" customFormat="false" ht="15.75" hidden="false" customHeight="true" outlineLevel="0" collapsed="false">
      <c r="H48" s="1"/>
      <c r="I48" s="1"/>
      <c r="J48" s="1"/>
      <c r="K48" s="1"/>
      <c r="L48" s="1"/>
      <c r="M48" s="1"/>
      <c r="N48" s="1"/>
      <c r="O48" s="1"/>
      <c r="P48" s="1"/>
      <c r="Q48" s="1"/>
      <c r="R48" s="1"/>
      <c r="S48" s="1"/>
      <c r="T48" s="1"/>
      <c r="U48" s="1"/>
      <c r="V48" s="1"/>
      <c r="W48" s="1"/>
      <c r="X48" s="1"/>
      <c r="Y48" s="1"/>
      <c r="Z48" s="1"/>
    </row>
    <row r="49" customFormat="false" ht="15.75" hidden="false" customHeight="true" outlineLevel="0" collapsed="false">
      <c r="H49" s="1"/>
      <c r="I49" s="1"/>
      <c r="J49" s="1"/>
      <c r="K49" s="1"/>
      <c r="L49" s="1"/>
      <c r="M49" s="1"/>
      <c r="N49" s="1"/>
      <c r="O49" s="1"/>
      <c r="P49" s="1"/>
      <c r="Q49" s="1"/>
      <c r="R49" s="1"/>
      <c r="S49" s="1"/>
      <c r="T49" s="1"/>
      <c r="U49" s="1"/>
      <c r="V49" s="1"/>
      <c r="W49" s="1"/>
      <c r="X49" s="1"/>
      <c r="Y49" s="1"/>
      <c r="Z49" s="1"/>
    </row>
    <row r="50" customFormat="false" ht="15.75" hidden="false" customHeight="true" outlineLevel="0" collapsed="false">
      <c r="H50" s="1"/>
      <c r="I50" s="1"/>
      <c r="J50" s="1"/>
      <c r="K50" s="1"/>
      <c r="L50" s="1"/>
      <c r="M50" s="1"/>
      <c r="N50" s="1"/>
      <c r="O50" s="1"/>
      <c r="P50" s="1"/>
      <c r="Q50" s="1"/>
      <c r="R50" s="1"/>
      <c r="S50" s="1"/>
      <c r="T50" s="1"/>
      <c r="U50" s="1"/>
      <c r="V50" s="1"/>
      <c r="W50" s="1"/>
      <c r="X50" s="1"/>
      <c r="Y50" s="1"/>
      <c r="Z50" s="1"/>
    </row>
    <row r="51" customFormat="false" ht="15.75" hidden="false" customHeight="true" outlineLevel="0" collapsed="false">
      <c r="H51" s="1"/>
      <c r="I51" s="1"/>
      <c r="J51" s="1"/>
      <c r="K51" s="1"/>
      <c r="L51" s="1"/>
      <c r="M51" s="1"/>
      <c r="N51" s="1"/>
      <c r="O51" s="1"/>
      <c r="P51" s="1"/>
      <c r="Q51" s="1"/>
      <c r="R51" s="1"/>
      <c r="S51" s="1"/>
      <c r="T51" s="1"/>
      <c r="U51" s="1"/>
      <c r="V51" s="1"/>
      <c r="W51" s="1"/>
      <c r="X51" s="1"/>
      <c r="Y51" s="1"/>
      <c r="Z51" s="1"/>
    </row>
    <row r="52" customFormat="false" ht="15.75" hidden="false" customHeight="true" outlineLevel="0" collapsed="false">
      <c r="H52" s="1"/>
      <c r="I52" s="1"/>
      <c r="J52" s="1"/>
      <c r="K52" s="1"/>
      <c r="L52" s="1"/>
      <c r="M52" s="1"/>
      <c r="N52" s="1"/>
      <c r="O52" s="1"/>
      <c r="P52" s="1"/>
      <c r="Q52" s="1"/>
      <c r="R52" s="1"/>
      <c r="S52" s="1"/>
      <c r="T52" s="1"/>
      <c r="U52" s="1"/>
      <c r="V52" s="1"/>
      <c r="W52" s="1"/>
      <c r="X52" s="1"/>
      <c r="Y52" s="1"/>
      <c r="Z52" s="1"/>
    </row>
    <row r="53" customFormat="false" ht="15.75" hidden="false" customHeight="true" outlineLevel="0" collapsed="false">
      <c r="H53" s="1"/>
      <c r="I53" s="1"/>
      <c r="J53" s="1"/>
      <c r="K53" s="1"/>
      <c r="L53" s="1"/>
      <c r="M53" s="1"/>
      <c r="N53" s="1"/>
      <c r="O53" s="1"/>
      <c r="P53" s="1"/>
      <c r="Q53" s="1"/>
      <c r="R53" s="1"/>
      <c r="S53" s="1"/>
      <c r="T53" s="1"/>
      <c r="U53" s="1"/>
      <c r="V53" s="1"/>
      <c r="W53" s="1"/>
      <c r="X53" s="1"/>
      <c r="Y53" s="1"/>
      <c r="Z53" s="1"/>
    </row>
    <row r="54" customFormat="false" ht="15.75" hidden="false" customHeight="true" outlineLevel="0" collapsed="false">
      <c r="H54" s="1"/>
      <c r="I54" s="1"/>
      <c r="J54" s="1"/>
      <c r="K54" s="1"/>
      <c r="L54" s="1"/>
      <c r="M54" s="1"/>
      <c r="N54" s="1"/>
      <c r="O54" s="1"/>
      <c r="P54" s="1"/>
      <c r="Q54" s="1"/>
      <c r="R54" s="1"/>
      <c r="S54" s="1"/>
      <c r="T54" s="1"/>
      <c r="U54" s="1"/>
      <c r="V54" s="1"/>
      <c r="W54" s="1"/>
      <c r="X54" s="1"/>
      <c r="Y54" s="1"/>
      <c r="Z54" s="1"/>
    </row>
    <row r="55" customFormat="false" ht="15.75" hidden="false" customHeight="true" outlineLevel="0" collapsed="false">
      <c r="H55" s="1"/>
      <c r="I55" s="1"/>
      <c r="J55" s="1"/>
      <c r="K55" s="1"/>
      <c r="L55" s="1"/>
      <c r="M55" s="1"/>
      <c r="N55" s="1"/>
      <c r="O55" s="1"/>
      <c r="P55" s="1"/>
      <c r="Q55" s="1"/>
      <c r="R55" s="1"/>
      <c r="S55" s="1"/>
      <c r="T55" s="1"/>
      <c r="U55" s="1"/>
      <c r="V55" s="1"/>
      <c r="W55" s="1"/>
      <c r="X55" s="1"/>
      <c r="Y55" s="1"/>
      <c r="Z55" s="1"/>
    </row>
    <row r="56" customFormat="false" ht="15.75" hidden="false" customHeight="true" outlineLevel="0" collapsed="false">
      <c r="H56" s="1"/>
      <c r="I56" s="1"/>
      <c r="J56" s="1"/>
      <c r="K56" s="1"/>
      <c r="L56" s="1"/>
      <c r="M56" s="1"/>
      <c r="N56" s="1"/>
      <c r="O56" s="1"/>
      <c r="P56" s="1"/>
      <c r="Q56" s="1"/>
      <c r="R56" s="1"/>
      <c r="S56" s="1"/>
      <c r="T56" s="1"/>
      <c r="U56" s="1"/>
      <c r="V56" s="1"/>
      <c r="W56" s="1"/>
      <c r="X56" s="1"/>
      <c r="Y56" s="1"/>
      <c r="Z56" s="1"/>
    </row>
    <row r="57" customFormat="false" ht="15.75" hidden="false" customHeight="true" outlineLevel="0" collapsed="false">
      <c r="H57" s="1"/>
      <c r="I57" s="1"/>
      <c r="J57" s="1"/>
      <c r="K57" s="1"/>
      <c r="L57" s="1"/>
      <c r="M57" s="1"/>
      <c r="N57" s="1"/>
      <c r="O57" s="1"/>
      <c r="P57" s="1"/>
      <c r="Q57" s="1"/>
      <c r="R57" s="1"/>
      <c r="S57" s="1"/>
      <c r="T57" s="1"/>
      <c r="U57" s="1"/>
      <c r="V57" s="1"/>
      <c r="W57" s="1"/>
      <c r="X57" s="1"/>
      <c r="Y57" s="1"/>
      <c r="Z57" s="1"/>
    </row>
    <row r="58" customFormat="false" ht="15.75" hidden="false" customHeight="true" outlineLevel="0" collapsed="false">
      <c r="H58" s="1"/>
      <c r="I58" s="1"/>
      <c r="J58" s="1"/>
      <c r="K58" s="1"/>
      <c r="L58" s="1"/>
      <c r="M58" s="1"/>
      <c r="N58" s="1"/>
      <c r="O58" s="1"/>
      <c r="P58" s="1"/>
      <c r="Q58" s="1"/>
      <c r="R58" s="1"/>
      <c r="S58" s="1"/>
      <c r="T58" s="1"/>
      <c r="U58" s="1"/>
      <c r="V58" s="1"/>
      <c r="W58" s="1"/>
      <c r="X58" s="1"/>
      <c r="Y58" s="1"/>
      <c r="Z58" s="1"/>
    </row>
    <row r="59" customFormat="false" ht="15.75" hidden="false" customHeight="true" outlineLevel="0" collapsed="false">
      <c r="H59" s="1"/>
      <c r="I59" s="1"/>
      <c r="J59" s="1"/>
      <c r="K59" s="1"/>
      <c r="L59" s="1"/>
      <c r="M59" s="1"/>
      <c r="N59" s="1"/>
      <c r="O59" s="1"/>
      <c r="P59" s="1"/>
      <c r="Q59" s="1"/>
      <c r="R59" s="1"/>
      <c r="S59" s="1"/>
      <c r="T59" s="1"/>
      <c r="U59" s="1"/>
      <c r="V59" s="1"/>
      <c r="W59" s="1"/>
      <c r="X59" s="1"/>
      <c r="Y59" s="1"/>
      <c r="Z59" s="1"/>
    </row>
    <row r="60" customFormat="false" ht="15.75" hidden="false" customHeight="true" outlineLevel="0" collapsed="false">
      <c r="H60" s="1"/>
      <c r="I60" s="1"/>
      <c r="J60" s="1"/>
      <c r="K60" s="1"/>
      <c r="L60" s="1"/>
      <c r="M60" s="1"/>
      <c r="N60" s="1"/>
      <c r="O60" s="1"/>
      <c r="P60" s="1"/>
      <c r="Q60" s="1"/>
      <c r="R60" s="1"/>
      <c r="S60" s="1"/>
      <c r="T60" s="1"/>
      <c r="U60" s="1"/>
      <c r="V60" s="1"/>
      <c r="W60" s="1"/>
      <c r="X60" s="1"/>
      <c r="Y60" s="1"/>
      <c r="Z60" s="1"/>
    </row>
    <row r="61" customFormat="false" ht="15.75" hidden="false" customHeight="true" outlineLevel="0" collapsed="false">
      <c r="H61" s="1"/>
      <c r="I61" s="1"/>
      <c r="J61" s="1"/>
      <c r="K61" s="1"/>
      <c r="L61" s="1"/>
      <c r="M61" s="1"/>
      <c r="N61" s="1"/>
      <c r="O61" s="1"/>
      <c r="P61" s="1"/>
      <c r="Q61" s="1"/>
      <c r="R61" s="1"/>
      <c r="S61" s="1"/>
      <c r="T61" s="1"/>
      <c r="U61" s="1"/>
      <c r="V61" s="1"/>
      <c r="W61" s="1"/>
      <c r="X61" s="1"/>
      <c r="Y61" s="1"/>
      <c r="Z61" s="1"/>
    </row>
    <row r="62" customFormat="false" ht="15.75" hidden="false" customHeight="true" outlineLevel="0" collapsed="false">
      <c r="H62" s="1"/>
      <c r="I62" s="1"/>
      <c r="J62" s="1"/>
      <c r="K62" s="1"/>
      <c r="L62" s="1"/>
      <c r="M62" s="1"/>
      <c r="N62" s="1"/>
      <c r="O62" s="1"/>
      <c r="P62" s="1"/>
      <c r="Q62" s="1"/>
      <c r="R62" s="1"/>
      <c r="S62" s="1"/>
      <c r="T62" s="1"/>
      <c r="U62" s="1"/>
      <c r="V62" s="1"/>
      <c r="W62" s="1"/>
      <c r="X62" s="1"/>
      <c r="Y62" s="1"/>
      <c r="Z62" s="1"/>
    </row>
    <row r="63" customFormat="false" ht="15.75" hidden="false" customHeight="true" outlineLevel="0" collapsed="false">
      <c r="H63" s="1"/>
      <c r="I63" s="1"/>
      <c r="J63" s="1"/>
      <c r="K63" s="1"/>
      <c r="L63" s="1"/>
      <c r="M63" s="1"/>
      <c r="N63" s="1"/>
      <c r="O63" s="1"/>
      <c r="P63" s="1"/>
      <c r="Q63" s="1"/>
      <c r="R63" s="1"/>
      <c r="S63" s="1"/>
      <c r="T63" s="1"/>
      <c r="U63" s="1"/>
      <c r="V63" s="1"/>
      <c r="W63" s="1"/>
      <c r="X63" s="1"/>
      <c r="Y63" s="1"/>
      <c r="Z63" s="1"/>
    </row>
    <row r="64" customFormat="false" ht="15.75" hidden="false" customHeight="true" outlineLevel="0" collapsed="false">
      <c r="H64" s="1"/>
      <c r="I64" s="1"/>
      <c r="J64" s="1"/>
      <c r="K64" s="1"/>
      <c r="L64" s="1"/>
      <c r="M64" s="1"/>
      <c r="N64" s="1"/>
      <c r="O64" s="1"/>
      <c r="P64" s="1"/>
      <c r="Q64" s="1"/>
      <c r="R64" s="1"/>
      <c r="S64" s="1"/>
      <c r="T64" s="1"/>
      <c r="U64" s="1"/>
      <c r="V64" s="1"/>
      <c r="W64" s="1"/>
      <c r="X64" s="1"/>
      <c r="Y64" s="1"/>
      <c r="Z64" s="1"/>
    </row>
    <row r="65" customFormat="false" ht="15.75" hidden="false" customHeight="true" outlineLevel="0" collapsed="false">
      <c r="H65" s="1"/>
      <c r="I65" s="1"/>
      <c r="J65" s="1"/>
      <c r="K65" s="1"/>
      <c r="L65" s="1"/>
      <c r="M65" s="1"/>
      <c r="N65" s="1"/>
      <c r="O65" s="1"/>
      <c r="P65" s="1"/>
      <c r="Q65" s="1"/>
      <c r="R65" s="1"/>
      <c r="S65" s="1"/>
      <c r="T65" s="1"/>
      <c r="U65" s="1"/>
      <c r="V65" s="1"/>
      <c r="W65" s="1"/>
      <c r="X65" s="1"/>
      <c r="Y65" s="1"/>
      <c r="Z65" s="1"/>
    </row>
    <row r="66" customFormat="false" ht="15.75" hidden="false" customHeight="true" outlineLevel="0" collapsed="false">
      <c r="H66" s="1"/>
      <c r="I66" s="1"/>
      <c r="J66" s="1"/>
      <c r="K66" s="1"/>
      <c r="L66" s="1"/>
      <c r="M66" s="1"/>
      <c r="N66" s="1"/>
      <c r="O66" s="1"/>
      <c r="P66" s="1"/>
      <c r="Q66" s="1"/>
      <c r="R66" s="1"/>
      <c r="S66" s="1"/>
      <c r="T66" s="1"/>
      <c r="U66" s="1"/>
      <c r="V66" s="1"/>
      <c r="W66" s="1"/>
      <c r="X66" s="1"/>
      <c r="Y66" s="1"/>
      <c r="Z66" s="1"/>
    </row>
    <row r="67" customFormat="false" ht="15.75" hidden="false" customHeight="true" outlineLevel="0" collapsed="false">
      <c r="H67" s="1"/>
      <c r="I67" s="1"/>
      <c r="J67" s="1"/>
      <c r="K67" s="1"/>
      <c r="L67" s="1"/>
      <c r="M67" s="1"/>
      <c r="N67" s="1"/>
      <c r="O67" s="1"/>
      <c r="P67" s="1"/>
      <c r="Q67" s="1"/>
      <c r="R67" s="1"/>
      <c r="S67" s="1"/>
      <c r="T67" s="1"/>
      <c r="U67" s="1"/>
      <c r="V67" s="1"/>
      <c r="W67" s="1"/>
      <c r="X67" s="1"/>
      <c r="Y67" s="1"/>
      <c r="Z67" s="1"/>
    </row>
    <row r="68" customFormat="false" ht="15.75" hidden="false" customHeight="true" outlineLevel="0" collapsed="false">
      <c r="H68" s="1"/>
      <c r="I68" s="1"/>
      <c r="J68" s="1"/>
      <c r="K68" s="1"/>
      <c r="L68" s="1"/>
      <c r="M68" s="1"/>
      <c r="N68" s="1"/>
      <c r="O68" s="1"/>
      <c r="P68" s="1"/>
      <c r="Q68" s="1"/>
      <c r="R68" s="1"/>
      <c r="S68" s="1"/>
      <c r="T68" s="1"/>
      <c r="U68" s="1"/>
      <c r="V68" s="1"/>
      <c r="W68" s="1"/>
      <c r="X68" s="1"/>
      <c r="Y68" s="1"/>
      <c r="Z68" s="1"/>
    </row>
    <row r="69" customFormat="false" ht="15.75" hidden="false" customHeight="true" outlineLevel="0" collapsed="false">
      <c r="H69" s="1"/>
      <c r="I69" s="1"/>
      <c r="J69" s="1"/>
      <c r="K69" s="1"/>
      <c r="L69" s="1"/>
      <c r="M69" s="1"/>
      <c r="N69" s="1"/>
      <c r="O69" s="1"/>
      <c r="P69" s="1"/>
      <c r="Q69" s="1"/>
      <c r="R69" s="1"/>
      <c r="S69" s="1"/>
      <c r="T69" s="1"/>
      <c r="U69" s="1"/>
      <c r="V69" s="1"/>
      <c r="W69" s="1"/>
      <c r="X69" s="1"/>
      <c r="Y69" s="1"/>
      <c r="Z69" s="1"/>
    </row>
    <row r="70" customFormat="false" ht="15.75" hidden="false" customHeight="true" outlineLevel="0" collapsed="false">
      <c r="H70" s="1"/>
      <c r="I70" s="1"/>
      <c r="J70" s="1"/>
      <c r="K70" s="1"/>
      <c r="L70" s="1"/>
      <c r="M70" s="1"/>
      <c r="N70" s="1"/>
      <c r="O70" s="1"/>
      <c r="P70" s="1"/>
      <c r="Q70" s="1"/>
      <c r="R70" s="1"/>
      <c r="S70" s="1"/>
      <c r="T70" s="1"/>
      <c r="U70" s="1"/>
      <c r="V70" s="1"/>
      <c r="W70" s="1"/>
      <c r="X70" s="1"/>
      <c r="Y70" s="1"/>
      <c r="Z70" s="1"/>
    </row>
    <row r="71" customFormat="false" ht="15.75" hidden="false" customHeight="true" outlineLevel="0" collapsed="false">
      <c r="H71" s="1"/>
      <c r="I71" s="1"/>
      <c r="J71" s="1"/>
      <c r="K71" s="1"/>
      <c r="L71" s="1"/>
      <c r="M71" s="1"/>
      <c r="N71" s="1"/>
      <c r="O71" s="1"/>
      <c r="P71" s="1"/>
      <c r="Q71" s="1"/>
      <c r="R71" s="1"/>
      <c r="S71" s="1"/>
      <c r="T71" s="1"/>
      <c r="U71" s="1"/>
      <c r="V71" s="1"/>
      <c r="W71" s="1"/>
      <c r="X71" s="1"/>
      <c r="Y71" s="1"/>
      <c r="Z71" s="1"/>
    </row>
    <row r="72" customFormat="false" ht="15.75" hidden="false" customHeight="true" outlineLevel="0" collapsed="false">
      <c r="H72" s="1"/>
      <c r="I72" s="1"/>
      <c r="J72" s="1"/>
      <c r="K72" s="1"/>
      <c r="L72" s="1"/>
      <c r="M72" s="1"/>
      <c r="N72" s="1"/>
      <c r="O72" s="1"/>
      <c r="P72" s="1"/>
      <c r="Q72" s="1"/>
      <c r="R72" s="1"/>
      <c r="S72" s="1"/>
      <c r="T72" s="1"/>
      <c r="U72" s="1"/>
      <c r="V72" s="1"/>
      <c r="W72" s="1"/>
      <c r="X72" s="1"/>
      <c r="Y72" s="1"/>
      <c r="Z72" s="1"/>
    </row>
    <row r="73" customFormat="false" ht="15.75" hidden="false" customHeight="true" outlineLevel="0" collapsed="false">
      <c r="H73" s="1"/>
      <c r="I73" s="1"/>
      <c r="J73" s="1"/>
      <c r="K73" s="1"/>
      <c r="L73" s="1"/>
      <c r="M73" s="1"/>
      <c r="N73" s="1"/>
      <c r="O73" s="1"/>
      <c r="P73" s="1"/>
      <c r="Q73" s="1"/>
      <c r="R73" s="1"/>
      <c r="S73" s="1"/>
      <c r="T73" s="1"/>
      <c r="U73" s="1"/>
      <c r="V73" s="1"/>
      <c r="W73" s="1"/>
      <c r="X73" s="1"/>
      <c r="Y73" s="1"/>
      <c r="Z73" s="1"/>
    </row>
    <row r="74" customFormat="false" ht="15.75" hidden="false" customHeight="true" outlineLevel="0" collapsed="false">
      <c r="H74" s="1"/>
      <c r="I74" s="1"/>
      <c r="J74" s="1"/>
      <c r="K74" s="1"/>
      <c r="L74" s="1"/>
      <c r="M74" s="1"/>
      <c r="N74" s="1"/>
      <c r="O74" s="1"/>
      <c r="P74" s="1"/>
      <c r="Q74" s="1"/>
      <c r="R74" s="1"/>
      <c r="S74" s="1"/>
      <c r="T74" s="1"/>
      <c r="U74" s="1"/>
      <c r="V74" s="1"/>
      <c r="W74" s="1"/>
      <c r="X74" s="1"/>
      <c r="Y74" s="1"/>
      <c r="Z74" s="1"/>
    </row>
    <row r="75" customFormat="false" ht="15.75" hidden="false" customHeight="true" outlineLevel="0" collapsed="false">
      <c r="H75" s="1"/>
      <c r="I75" s="1"/>
      <c r="J75" s="1"/>
      <c r="K75" s="1"/>
      <c r="L75" s="1"/>
      <c r="M75" s="1"/>
      <c r="N75" s="1"/>
      <c r="O75" s="1"/>
      <c r="P75" s="1"/>
      <c r="Q75" s="1"/>
      <c r="R75" s="1"/>
      <c r="S75" s="1"/>
      <c r="T75" s="1"/>
      <c r="U75" s="1"/>
      <c r="V75" s="1"/>
      <c r="W75" s="1"/>
      <c r="X75" s="1"/>
      <c r="Y75" s="1"/>
      <c r="Z75" s="1"/>
    </row>
    <row r="76" customFormat="false" ht="15.75" hidden="false" customHeight="true" outlineLevel="0" collapsed="false">
      <c r="H76" s="1"/>
      <c r="I76" s="1"/>
      <c r="J76" s="1"/>
      <c r="K76" s="1"/>
      <c r="L76" s="1"/>
      <c r="M76" s="1"/>
      <c r="N76" s="1"/>
      <c r="O76" s="1"/>
      <c r="P76" s="1"/>
      <c r="Q76" s="1"/>
      <c r="R76" s="1"/>
      <c r="S76" s="1"/>
      <c r="T76" s="1"/>
      <c r="U76" s="1"/>
      <c r="V76" s="1"/>
      <c r="W76" s="1"/>
      <c r="X76" s="1"/>
      <c r="Y76" s="1"/>
      <c r="Z76" s="1"/>
    </row>
    <row r="77" customFormat="false" ht="15.75" hidden="false" customHeight="true" outlineLevel="0" collapsed="false">
      <c r="H77" s="1"/>
      <c r="I77" s="1"/>
      <c r="J77" s="1"/>
      <c r="K77" s="1"/>
      <c r="L77" s="1"/>
      <c r="M77" s="1"/>
      <c r="N77" s="1"/>
      <c r="O77" s="1"/>
      <c r="P77" s="1"/>
      <c r="Q77" s="1"/>
      <c r="R77" s="1"/>
      <c r="S77" s="1"/>
      <c r="T77" s="1"/>
      <c r="U77" s="1"/>
      <c r="V77" s="1"/>
      <c r="W77" s="1"/>
      <c r="X77" s="1"/>
      <c r="Y77" s="1"/>
      <c r="Z77" s="1"/>
    </row>
    <row r="78" customFormat="false" ht="15.75" hidden="false" customHeight="true" outlineLevel="0" collapsed="false">
      <c r="H78" s="1"/>
      <c r="I78" s="1"/>
      <c r="J78" s="1"/>
      <c r="K78" s="1"/>
      <c r="L78" s="1"/>
      <c r="M78" s="1"/>
      <c r="N78" s="1"/>
      <c r="O78" s="1"/>
      <c r="P78" s="1"/>
      <c r="Q78" s="1"/>
      <c r="R78" s="1"/>
      <c r="S78" s="1"/>
      <c r="T78" s="1"/>
      <c r="U78" s="1"/>
      <c r="V78" s="1"/>
      <c r="W78" s="1"/>
      <c r="X78" s="1"/>
      <c r="Y78" s="1"/>
      <c r="Z78" s="1"/>
    </row>
    <row r="79" customFormat="false" ht="15.75" hidden="false" customHeight="true" outlineLevel="0" collapsed="false">
      <c r="H79" s="1"/>
      <c r="I79" s="1"/>
      <c r="J79" s="1"/>
      <c r="K79" s="1"/>
      <c r="L79" s="1"/>
      <c r="M79" s="1"/>
      <c r="N79" s="1"/>
      <c r="O79" s="1"/>
      <c r="P79" s="1"/>
      <c r="Q79" s="1"/>
      <c r="R79" s="1"/>
      <c r="S79" s="1"/>
      <c r="T79" s="1"/>
      <c r="U79" s="1"/>
      <c r="V79" s="1"/>
      <c r="W79" s="1"/>
      <c r="X79" s="1"/>
      <c r="Y79" s="1"/>
      <c r="Z79" s="1"/>
    </row>
    <row r="80" customFormat="false" ht="15.75" hidden="false" customHeight="true" outlineLevel="0" collapsed="false">
      <c r="H80" s="1"/>
      <c r="I80" s="1"/>
      <c r="J80" s="1"/>
      <c r="K80" s="1"/>
      <c r="L80" s="1"/>
      <c r="M80" s="1"/>
      <c r="N80" s="1"/>
      <c r="O80" s="1"/>
      <c r="P80" s="1"/>
      <c r="Q80" s="1"/>
      <c r="R80" s="1"/>
      <c r="S80" s="1"/>
      <c r="T80" s="1"/>
      <c r="U80" s="1"/>
      <c r="V80" s="1"/>
      <c r="W80" s="1"/>
      <c r="X80" s="1"/>
      <c r="Y80" s="1"/>
      <c r="Z80" s="1"/>
    </row>
    <row r="81" customFormat="false" ht="15.75" hidden="false" customHeight="true" outlineLevel="0" collapsed="false">
      <c r="H81" s="1"/>
      <c r="I81" s="1"/>
      <c r="J81" s="1"/>
      <c r="K81" s="1"/>
      <c r="L81" s="1"/>
      <c r="M81" s="1"/>
      <c r="N81" s="1"/>
      <c r="O81" s="1"/>
      <c r="P81" s="1"/>
      <c r="Q81" s="1"/>
      <c r="R81" s="1"/>
      <c r="S81" s="1"/>
      <c r="T81" s="1"/>
      <c r="U81" s="1"/>
      <c r="V81" s="1"/>
      <c r="W81" s="1"/>
      <c r="X81" s="1"/>
      <c r="Y81" s="1"/>
      <c r="Z81" s="1"/>
    </row>
    <row r="82" customFormat="false" ht="15.75" hidden="false" customHeight="true" outlineLevel="0" collapsed="false">
      <c r="H82" s="1"/>
      <c r="I82" s="1"/>
      <c r="J82" s="1"/>
      <c r="K82" s="1"/>
      <c r="L82" s="1"/>
      <c r="M82" s="1"/>
      <c r="N82" s="1"/>
      <c r="O82" s="1"/>
      <c r="P82" s="1"/>
      <c r="Q82" s="1"/>
      <c r="R82" s="1"/>
      <c r="S82" s="1"/>
      <c r="T82" s="1"/>
      <c r="U82" s="1"/>
      <c r="V82" s="1"/>
      <c r="W82" s="1"/>
      <c r="X82" s="1"/>
      <c r="Y82" s="1"/>
      <c r="Z82" s="1"/>
    </row>
    <row r="83" customFormat="false" ht="15.75" hidden="false" customHeight="true" outlineLevel="0" collapsed="false">
      <c r="H83" s="1"/>
      <c r="I83" s="1"/>
      <c r="J83" s="1"/>
      <c r="K83" s="1"/>
      <c r="L83" s="1"/>
      <c r="M83" s="1"/>
      <c r="N83" s="1"/>
      <c r="O83" s="1"/>
      <c r="P83" s="1"/>
      <c r="Q83" s="1"/>
      <c r="R83" s="1"/>
      <c r="S83" s="1"/>
      <c r="T83" s="1"/>
      <c r="U83" s="1"/>
      <c r="V83" s="1"/>
      <c r="W83" s="1"/>
      <c r="X83" s="1"/>
      <c r="Y83" s="1"/>
      <c r="Z83" s="1"/>
    </row>
    <row r="84" customFormat="false" ht="15.75" hidden="false" customHeight="true" outlineLevel="0" collapsed="false">
      <c r="H84" s="1"/>
      <c r="I84" s="1"/>
      <c r="J84" s="1"/>
      <c r="K84" s="1"/>
      <c r="L84" s="1"/>
      <c r="M84" s="1"/>
      <c r="N84" s="1"/>
      <c r="O84" s="1"/>
      <c r="P84" s="1"/>
      <c r="Q84" s="1"/>
      <c r="R84" s="1"/>
      <c r="S84" s="1"/>
      <c r="T84" s="1"/>
      <c r="U84" s="1"/>
      <c r="V84" s="1"/>
      <c r="W84" s="1"/>
      <c r="X84" s="1"/>
      <c r="Y84" s="1"/>
      <c r="Z84" s="1"/>
    </row>
    <row r="85" customFormat="false" ht="15.75" hidden="false" customHeight="true" outlineLevel="0" collapsed="false">
      <c r="H85" s="1"/>
      <c r="I85" s="1"/>
      <c r="J85" s="1"/>
      <c r="K85" s="1"/>
      <c r="L85" s="1"/>
      <c r="M85" s="1"/>
      <c r="N85" s="1"/>
      <c r="O85" s="1"/>
      <c r="P85" s="1"/>
      <c r="Q85" s="1"/>
      <c r="R85" s="1"/>
      <c r="S85" s="1"/>
      <c r="T85" s="1"/>
      <c r="U85" s="1"/>
      <c r="V85" s="1"/>
      <c r="W85" s="1"/>
      <c r="X85" s="1"/>
      <c r="Y85" s="1"/>
      <c r="Z85" s="1"/>
    </row>
    <row r="86" customFormat="false" ht="15.75" hidden="false" customHeight="true" outlineLevel="0" collapsed="false">
      <c r="H86" s="1"/>
      <c r="I86" s="1"/>
      <c r="J86" s="1"/>
      <c r="K86" s="1"/>
      <c r="L86" s="1"/>
      <c r="M86" s="1"/>
      <c r="N86" s="1"/>
      <c r="O86" s="1"/>
      <c r="P86" s="1"/>
      <c r="Q86" s="1"/>
      <c r="R86" s="1"/>
      <c r="S86" s="1"/>
      <c r="T86" s="1"/>
      <c r="U86" s="1"/>
      <c r="V86" s="1"/>
      <c r="W86" s="1"/>
      <c r="X86" s="1"/>
      <c r="Y86" s="1"/>
      <c r="Z86" s="1"/>
    </row>
    <row r="87" customFormat="false" ht="15.75" hidden="false" customHeight="true" outlineLevel="0" collapsed="false">
      <c r="H87" s="1"/>
      <c r="I87" s="1"/>
      <c r="J87" s="1"/>
      <c r="K87" s="1"/>
      <c r="L87" s="1"/>
      <c r="M87" s="1"/>
      <c r="N87" s="1"/>
      <c r="O87" s="1"/>
      <c r="P87" s="1"/>
      <c r="Q87" s="1"/>
      <c r="R87" s="1"/>
      <c r="S87" s="1"/>
      <c r="T87" s="1"/>
      <c r="U87" s="1"/>
      <c r="V87" s="1"/>
      <c r="W87" s="1"/>
      <c r="X87" s="1"/>
      <c r="Y87" s="1"/>
      <c r="Z87" s="1"/>
    </row>
    <row r="88" customFormat="false" ht="15.75" hidden="false" customHeight="true" outlineLevel="0" collapsed="false">
      <c r="H88" s="1"/>
      <c r="I88" s="1"/>
      <c r="J88" s="1"/>
      <c r="K88" s="1"/>
      <c r="L88" s="1"/>
      <c r="M88" s="1"/>
      <c r="N88" s="1"/>
      <c r="O88" s="1"/>
      <c r="P88" s="1"/>
      <c r="Q88" s="1"/>
      <c r="R88" s="1"/>
      <c r="S88" s="1"/>
      <c r="T88" s="1"/>
      <c r="U88" s="1"/>
      <c r="V88" s="1"/>
      <c r="W88" s="1"/>
      <c r="X88" s="1"/>
      <c r="Y88" s="1"/>
      <c r="Z88" s="1"/>
    </row>
    <row r="89" customFormat="false" ht="15.75" hidden="false" customHeight="true" outlineLevel="0" collapsed="false">
      <c r="H89" s="1"/>
      <c r="I89" s="1"/>
      <c r="J89" s="1"/>
      <c r="K89" s="1"/>
      <c r="L89" s="1"/>
      <c r="M89" s="1"/>
      <c r="N89" s="1"/>
      <c r="O89" s="1"/>
      <c r="P89" s="1"/>
      <c r="Q89" s="1"/>
      <c r="R89" s="1"/>
      <c r="S89" s="1"/>
      <c r="T89" s="1"/>
      <c r="U89" s="1"/>
      <c r="V89" s="1"/>
      <c r="W89" s="1"/>
      <c r="X89" s="1"/>
      <c r="Y89" s="1"/>
      <c r="Z89" s="1"/>
    </row>
    <row r="90" customFormat="false" ht="15.75" hidden="false" customHeight="true" outlineLevel="0" collapsed="false">
      <c r="H90" s="1"/>
      <c r="I90" s="1"/>
      <c r="J90" s="1"/>
      <c r="K90" s="1"/>
      <c r="L90" s="1"/>
      <c r="M90" s="1"/>
      <c r="N90" s="1"/>
      <c r="O90" s="1"/>
      <c r="P90" s="1"/>
      <c r="Q90" s="1"/>
      <c r="R90" s="1"/>
      <c r="S90" s="1"/>
      <c r="T90" s="1"/>
      <c r="U90" s="1"/>
      <c r="V90" s="1"/>
      <c r="W90" s="1"/>
      <c r="X90" s="1"/>
      <c r="Y90" s="1"/>
      <c r="Z90" s="1"/>
    </row>
    <row r="91" customFormat="false" ht="15.75" hidden="false" customHeight="true" outlineLevel="0" collapsed="false">
      <c r="H91" s="1"/>
      <c r="I91" s="1"/>
      <c r="J91" s="1"/>
      <c r="K91" s="1"/>
      <c r="L91" s="1"/>
      <c r="M91" s="1"/>
      <c r="N91" s="1"/>
      <c r="O91" s="1"/>
      <c r="P91" s="1"/>
      <c r="Q91" s="1"/>
      <c r="R91" s="1"/>
      <c r="S91" s="1"/>
      <c r="T91" s="1"/>
      <c r="U91" s="1"/>
      <c r="V91" s="1"/>
      <c r="W91" s="1"/>
      <c r="X91" s="1"/>
      <c r="Y91" s="1"/>
      <c r="Z91" s="1"/>
    </row>
    <row r="92" customFormat="false" ht="15.75" hidden="false" customHeight="true" outlineLevel="0" collapsed="false">
      <c r="H92" s="1"/>
      <c r="I92" s="1"/>
      <c r="J92" s="1"/>
      <c r="K92" s="1"/>
      <c r="L92" s="1"/>
      <c r="M92" s="1"/>
      <c r="N92" s="1"/>
      <c r="O92" s="1"/>
      <c r="P92" s="1"/>
      <c r="Q92" s="1"/>
      <c r="R92" s="1"/>
      <c r="S92" s="1"/>
      <c r="T92" s="1"/>
      <c r="U92" s="1"/>
      <c r="V92" s="1"/>
      <c r="W92" s="1"/>
      <c r="X92" s="1"/>
      <c r="Y92" s="1"/>
      <c r="Z92" s="1"/>
    </row>
    <row r="93" customFormat="false" ht="15.75" hidden="false" customHeight="true" outlineLevel="0" collapsed="false">
      <c r="H93" s="1"/>
      <c r="I93" s="1"/>
      <c r="J93" s="1"/>
      <c r="K93" s="1"/>
      <c r="L93" s="1"/>
      <c r="M93" s="1"/>
      <c r="N93" s="1"/>
      <c r="O93" s="1"/>
      <c r="P93" s="1"/>
      <c r="Q93" s="1"/>
      <c r="R93" s="1"/>
      <c r="S93" s="1"/>
      <c r="T93" s="1"/>
      <c r="U93" s="1"/>
      <c r="V93" s="1"/>
      <c r="W93" s="1"/>
      <c r="X93" s="1"/>
      <c r="Y93" s="1"/>
      <c r="Z93" s="1"/>
    </row>
    <row r="94" customFormat="false" ht="15.75" hidden="false" customHeight="true" outlineLevel="0" collapsed="false">
      <c r="H94" s="1"/>
      <c r="I94" s="1"/>
      <c r="J94" s="1"/>
      <c r="K94" s="1"/>
      <c r="L94" s="1"/>
      <c r="M94" s="1"/>
      <c r="N94" s="1"/>
      <c r="O94" s="1"/>
      <c r="P94" s="1"/>
      <c r="Q94" s="1"/>
      <c r="R94" s="1"/>
      <c r="S94" s="1"/>
      <c r="T94" s="1"/>
      <c r="U94" s="1"/>
      <c r="V94" s="1"/>
      <c r="W94" s="1"/>
      <c r="X94" s="1"/>
      <c r="Y94" s="1"/>
      <c r="Z94" s="1"/>
    </row>
    <row r="95" customFormat="false" ht="15.75" hidden="false" customHeight="true" outlineLevel="0" collapsed="false">
      <c r="H95" s="1"/>
      <c r="I95" s="1"/>
      <c r="J95" s="1"/>
      <c r="K95" s="1"/>
      <c r="L95" s="1"/>
      <c r="M95" s="1"/>
      <c r="N95" s="1"/>
      <c r="O95" s="1"/>
      <c r="P95" s="1"/>
      <c r="Q95" s="1"/>
      <c r="R95" s="1"/>
      <c r="S95" s="1"/>
      <c r="T95" s="1"/>
      <c r="U95" s="1"/>
      <c r="V95" s="1"/>
      <c r="W95" s="1"/>
      <c r="X95" s="1"/>
      <c r="Y95" s="1"/>
      <c r="Z95" s="1"/>
    </row>
    <row r="96" customFormat="false" ht="15.75" hidden="false" customHeight="true" outlineLevel="0" collapsed="false">
      <c r="H96" s="1"/>
      <c r="I96" s="1"/>
      <c r="J96" s="1"/>
      <c r="K96" s="1"/>
      <c r="L96" s="1"/>
      <c r="M96" s="1"/>
      <c r="N96" s="1"/>
      <c r="O96" s="1"/>
      <c r="P96" s="1"/>
      <c r="Q96" s="1"/>
      <c r="R96" s="1"/>
      <c r="S96" s="1"/>
      <c r="T96" s="1"/>
      <c r="U96" s="1"/>
      <c r="V96" s="1"/>
      <c r="W96" s="1"/>
      <c r="X96" s="1"/>
      <c r="Y96" s="1"/>
      <c r="Z96" s="1"/>
    </row>
    <row r="97" customFormat="false" ht="15.75" hidden="false" customHeight="true" outlineLevel="0" collapsed="false">
      <c r="H97" s="1"/>
      <c r="I97" s="1"/>
      <c r="J97" s="1"/>
      <c r="K97" s="1"/>
      <c r="L97" s="1"/>
      <c r="M97" s="1"/>
      <c r="N97" s="1"/>
      <c r="O97" s="1"/>
      <c r="P97" s="1"/>
      <c r="Q97" s="1"/>
      <c r="R97" s="1"/>
      <c r="S97" s="1"/>
      <c r="T97" s="1"/>
      <c r="U97" s="1"/>
      <c r="V97" s="1"/>
      <c r="W97" s="1"/>
      <c r="X97" s="1"/>
      <c r="Y97" s="1"/>
      <c r="Z97" s="1"/>
    </row>
    <row r="98" customFormat="false" ht="15.75" hidden="false" customHeight="true" outlineLevel="0" collapsed="false">
      <c r="H98" s="1"/>
      <c r="I98" s="1"/>
      <c r="J98" s="1"/>
      <c r="K98" s="1"/>
      <c r="L98" s="1"/>
      <c r="M98" s="1"/>
      <c r="N98" s="1"/>
      <c r="O98" s="1"/>
      <c r="P98" s="1"/>
      <c r="Q98" s="1"/>
      <c r="R98" s="1"/>
      <c r="S98" s="1"/>
      <c r="T98" s="1"/>
      <c r="U98" s="1"/>
      <c r="V98" s="1"/>
      <c r="W98" s="1"/>
      <c r="X98" s="1"/>
      <c r="Y98" s="1"/>
      <c r="Z98" s="1"/>
    </row>
    <row r="99" customFormat="false" ht="15.75" hidden="false" customHeight="true" outlineLevel="0" collapsed="false">
      <c r="H99" s="1"/>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H100" s="1"/>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H101" s="1"/>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H102" s="1"/>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H103" s="1"/>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H104" s="1"/>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H105" s="1"/>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H106" s="1"/>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H107" s="1"/>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H108" s="1"/>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H109" s="1"/>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H110" s="1"/>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H111" s="1"/>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H112" s="1"/>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H113" s="1"/>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H114" s="1"/>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H115" s="1"/>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H116" s="1"/>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H117" s="1"/>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H118" s="1"/>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H119" s="1"/>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H120" s="1"/>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H121" s="1"/>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H122" s="1"/>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H123" s="1"/>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H124" s="1"/>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H125" s="1"/>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H126" s="1"/>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H127" s="1"/>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H128" s="1"/>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H129" s="1"/>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H130" s="1"/>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H131" s="1"/>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H132" s="1"/>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H133" s="1"/>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H134" s="1"/>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H135" s="1"/>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H136" s="1"/>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H137" s="1"/>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H138" s="1"/>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H139" s="1"/>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H140" s="1"/>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H141" s="1"/>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H142" s="1"/>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H143" s="1"/>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H144" s="1"/>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H145" s="1"/>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H146" s="1"/>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H147" s="1"/>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H148" s="1"/>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H149" s="1"/>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H150" s="1"/>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H151" s="1"/>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H152" s="1"/>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H153" s="1"/>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H154" s="1"/>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H155" s="1"/>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H156" s="1"/>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H157" s="1"/>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H158" s="1"/>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H159" s="1"/>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H160" s="1"/>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H161" s="1"/>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H162" s="1"/>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H163" s="1"/>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H164" s="1"/>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H165" s="1"/>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H166" s="1"/>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H167" s="1"/>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H168" s="1"/>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H169" s="1"/>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H170" s="1"/>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H171" s="1"/>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H172" s="1"/>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H173" s="1"/>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H174" s="1"/>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H175" s="1"/>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H176" s="1"/>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H177" s="1"/>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H178" s="1"/>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H179" s="1"/>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H180" s="1"/>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H181" s="1"/>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H182" s="1"/>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H183" s="1"/>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H184" s="1"/>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H185" s="1"/>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H186" s="1"/>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H187" s="1"/>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H188" s="1"/>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H189" s="1"/>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H190" s="1"/>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H191" s="1"/>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H192" s="1"/>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H193" s="1"/>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H194" s="1"/>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H195" s="1"/>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H196" s="1"/>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H197" s="1"/>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H198" s="1"/>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H199" s="1"/>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H200" s="1"/>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H201" s="1"/>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H202" s="1"/>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H203" s="1"/>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H204" s="1"/>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H205" s="1"/>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H206" s="1"/>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H207" s="1"/>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H208" s="1"/>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H209" s="1"/>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H210" s="1"/>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H211" s="1"/>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H212" s="1"/>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H213" s="1"/>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H214" s="1"/>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H215" s="1"/>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H216" s="1"/>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H217" s="1"/>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H218" s="1"/>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H219" s="1"/>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H220" s="1"/>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H221" s="1"/>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H222" s="1"/>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H223" s="1"/>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H224" s="1"/>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H225" s="1"/>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H226" s="1"/>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H227" s="1"/>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H228" s="1"/>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H229" s="1"/>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H230" s="1"/>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H231" s="1"/>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H232" s="1"/>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H233" s="1"/>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H234" s="1"/>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H235" s="1"/>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H236" s="1"/>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H237" s="1"/>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H238" s="1"/>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H239" s="1"/>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H240" s="1"/>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H241" s="1"/>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H242" s="1"/>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H243" s="1"/>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H244" s="1"/>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H245" s="1"/>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H246" s="1"/>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H247" s="1"/>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H248" s="1"/>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H249" s="1"/>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H250" s="1"/>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H251" s="1"/>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H252" s="1"/>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H253" s="1"/>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H254" s="1"/>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H255" s="1"/>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H256" s="1"/>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H257" s="1"/>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H258" s="1"/>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H259" s="1"/>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H260" s="1"/>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H261" s="1"/>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H262" s="1"/>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H263" s="1"/>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H264" s="1"/>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H265" s="1"/>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H266" s="1"/>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H267" s="1"/>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H268" s="1"/>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H269" s="1"/>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H270" s="1"/>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H271" s="1"/>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H272" s="1"/>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H273" s="1"/>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H274" s="1"/>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H275" s="1"/>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H276" s="1"/>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H277" s="1"/>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H278" s="1"/>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H279" s="1"/>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H280" s="1"/>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H281" s="1"/>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H282" s="1"/>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H283" s="1"/>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H284" s="1"/>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H285" s="1"/>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H286" s="1"/>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H287" s="1"/>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H288" s="1"/>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H289" s="1"/>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H290" s="1"/>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H291" s="1"/>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H292" s="1"/>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H293" s="1"/>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H294" s="1"/>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H295" s="1"/>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H296" s="1"/>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H297" s="1"/>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H298" s="1"/>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H299" s="1"/>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H300" s="1"/>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H301" s="1"/>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H302" s="1"/>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H303" s="1"/>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H304" s="1"/>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H305" s="1"/>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H306" s="1"/>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H307" s="1"/>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H308" s="1"/>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H309" s="1"/>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H310" s="1"/>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H311" s="1"/>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H312" s="1"/>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H313" s="1"/>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H314" s="1"/>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H315" s="1"/>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H316" s="1"/>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H317" s="1"/>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H318" s="1"/>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H319" s="1"/>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H320" s="1"/>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H321" s="1"/>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H322" s="1"/>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H323" s="1"/>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H324" s="1"/>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H325" s="1"/>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H326" s="1"/>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H327" s="1"/>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H328" s="1"/>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H329" s="1"/>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H330" s="1"/>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H331" s="1"/>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H332" s="1"/>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H333" s="1"/>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H334" s="1"/>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H335" s="1"/>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H336" s="1"/>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H337" s="1"/>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H338" s="1"/>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H339" s="1"/>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H340" s="1"/>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H341" s="1"/>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H342" s="1"/>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H343" s="1"/>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H344" s="1"/>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H345" s="1"/>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H346" s="1"/>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H347" s="1"/>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H348" s="1"/>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H349" s="1"/>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H350" s="1"/>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H351" s="1"/>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H352" s="1"/>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H353" s="1"/>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H354" s="1"/>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H355" s="1"/>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H356" s="1"/>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H357" s="1"/>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H358" s="1"/>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H359" s="1"/>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H360" s="1"/>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H361" s="1"/>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H362" s="1"/>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H363" s="1"/>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H364" s="1"/>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H365" s="1"/>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H366" s="1"/>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H367" s="1"/>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H368" s="1"/>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H369" s="1"/>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H370" s="1"/>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H371" s="1"/>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H372" s="1"/>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H373" s="1"/>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H374" s="1"/>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H375" s="1"/>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H376" s="1"/>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H377" s="1"/>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H378" s="1"/>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H379" s="1"/>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H380" s="1"/>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H381" s="1"/>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H382" s="1"/>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H383" s="1"/>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H384" s="1"/>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H385" s="1"/>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H386" s="1"/>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H387" s="1"/>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H388" s="1"/>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H389" s="1"/>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H390" s="1"/>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H391" s="1"/>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H392" s="1"/>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H393" s="1"/>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H394" s="1"/>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H395" s="1"/>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H396" s="1"/>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H397" s="1"/>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H398" s="1"/>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H399" s="1"/>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H400" s="1"/>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H401" s="1"/>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H402" s="1"/>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H403" s="1"/>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H404" s="1"/>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H405" s="1"/>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H406" s="1"/>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H407" s="1"/>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H408" s="1"/>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H409" s="1"/>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H410" s="1"/>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H411" s="1"/>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H412" s="1"/>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H413" s="1"/>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H414" s="1"/>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H415" s="1"/>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H416" s="1"/>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H417" s="1"/>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H418" s="1"/>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H419" s="1"/>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H420" s="1"/>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H421" s="1"/>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H422" s="1"/>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H423" s="1"/>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H424" s="1"/>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H425" s="1"/>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H426" s="1"/>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H427" s="1"/>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H428" s="1"/>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H429" s="1"/>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H430" s="1"/>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H431" s="1"/>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H432" s="1"/>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H433" s="1"/>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H434" s="1"/>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H435" s="1"/>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H436" s="1"/>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H437" s="1"/>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H438" s="1"/>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H439" s="1"/>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H440" s="1"/>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H441" s="1"/>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H442" s="1"/>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H443" s="1"/>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H444" s="1"/>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H445" s="1"/>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H446" s="1"/>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H447" s="1"/>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H448" s="1"/>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H449" s="1"/>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H450" s="1"/>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H451" s="1"/>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H452" s="1"/>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H453" s="1"/>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H454" s="1"/>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H455" s="1"/>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H456" s="1"/>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H457" s="1"/>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H458" s="1"/>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H459" s="1"/>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H460" s="1"/>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H461" s="1"/>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H462" s="1"/>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H463" s="1"/>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H464" s="1"/>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H465" s="1"/>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H466" s="1"/>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H467" s="1"/>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H468" s="1"/>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H469" s="1"/>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H470" s="1"/>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H471" s="1"/>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H472" s="1"/>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H473" s="1"/>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H474" s="1"/>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H475" s="1"/>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H476" s="1"/>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H477" s="1"/>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H478" s="1"/>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H479" s="1"/>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H480" s="1"/>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H481" s="1"/>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H482" s="1"/>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H483" s="1"/>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H484" s="1"/>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H485" s="1"/>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H486" s="1"/>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H487" s="1"/>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H488" s="1"/>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H489" s="1"/>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H490" s="1"/>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H491" s="1"/>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H492" s="1"/>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H493" s="1"/>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H494" s="1"/>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H495" s="1"/>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H496" s="1"/>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H497" s="1"/>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H498" s="1"/>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H499" s="1"/>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H500" s="1"/>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H501" s="1"/>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H502" s="1"/>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H503" s="1"/>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H504" s="1"/>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H505" s="1"/>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H506" s="1"/>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H507" s="1"/>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H508" s="1"/>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H509" s="1"/>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H510" s="1"/>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H511" s="1"/>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H512" s="1"/>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H513" s="1"/>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H514" s="1"/>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H515" s="1"/>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H516" s="1"/>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H517" s="1"/>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H518" s="1"/>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H519" s="1"/>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H520" s="1"/>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H521" s="1"/>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H522" s="1"/>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H523" s="1"/>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H524" s="1"/>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H525" s="1"/>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H526" s="1"/>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H527" s="1"/>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H528" s="1"/>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H529" s="1"/>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H530" s="1"/>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H531" s="1"/>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H532" s="1"/>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H533" s="1"/>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H534" s="1"/>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H535" s="1"/>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H536" s="1"/>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H537" s="1"/>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H538" s="1"/>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H539" s="1"/>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H540" s="1"/>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H541" s="1"/>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H542" s="1"/>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H543" s="1"/>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H544" s="1"/>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H545" s="1"/>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H546" s="1"/>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H547" s="1"/>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H548" s="1"/>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H549" s="1"/>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H550" s="1"/>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H551" s="1"/>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H552" s="1"/>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H553" s="1"/>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H554" s="1"/>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H555" s="1"/>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H556" s="1"/>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H557" s="1"/>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H558" s="1"/>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H559" s="1"/>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H560" s="1"/>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H561" s="1"/>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H562" s="1"/>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H563" s="1"/>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H564" s="1"/>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H565" s="1"/>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H566" s="1"/>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H567" s="1"/>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H568" s="1"/>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H569" s="1"/>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H570" s="1"/>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H571" s="1"/>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H572" s="1"/>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H573" s="1"/>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H574" s="1"/>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H575" s="1"/>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H576" s="1"/>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H577" s="1"/>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H578" s="1"/>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H579" s="1"/>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H580" s="1"/>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H581" s="1"/>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H582" s="1"/>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H583" s="1"/>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H584" s="1"/>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H585" s="1"/>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H586" s="1"/>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H587" s="1"/>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H588" s="1"/>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H589" s="1"/>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H590" s="1"/>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H591" s="1"/>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H592" s="1"/>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H593" s="1"/>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H594" s="1"/>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H595" s="1"/>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H596" s="1"/>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H597" s="1"/>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H598" s="1"/>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H599" s="1"/>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H600" s="1"/>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H601" s="1"/>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H602" s="1"/>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H603" s="1"/>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H604" s="1"/>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H605" s="1"/>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H606" s="1"/>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H607" s="1"/>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H608" s="1"/>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H609" s="1"/>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H610" s="1"/>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H611" s="1"/>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H612" s="1"/>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H613" s="1"/>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H614" s="1"/>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H615" s="1"/>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H616" s="1"/>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H617" s="1"/>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H618" s="1"/>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H619" s="1"/>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H620" s="1"/>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H621" s="1"/>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H622" s="1"/>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H623" s="1"/>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H624" s="1"/>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H625" s="1"/>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H626" s="1"/>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H627" s="1"/>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H628" s="1"/>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H629" s="1"/>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H630" s="1"/>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H631" s="1"/>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H632" s="1"/>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H633" s="1"/>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H634" s="1"/>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H635" s="1"/>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H636" s="1"/>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H637" s="1"/>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H638" s="1"/>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H639" s="1"/>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H640" s="1"/>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H641" s="1"/>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H642" s="1"/>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H643" s="1"/>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H644" s="1"/>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H645" s="1"/>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H646" s="1"/>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H647" s="1"/>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H648" s="1"/>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H649" s="1"/>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H650" s="1"/>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H651" s="1"/>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H652" s="1"/>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H653" s="1"/>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H654" s="1"/>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H655" s="1"/>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H656" s="1"/>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H657" s="1"/>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H658" s="1"/>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H659" s="1"/>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H660" s="1"/>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H661" s="1"/>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H662" s="1"/>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H663" s="1"/>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H664" s="1"/>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H665" s="1"/>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H666" s="1"/>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H667" s="1"/>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H668" s="1"/>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H669" s="1"/>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H670" s="1"/>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H671" s="1"/>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H672" s="1"/>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H673" s="1"/>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H674" s="1"/>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H675" s="1"/>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H676" s="1"/>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H677" s="1"/>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H678" s="1"/>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H679" s="1"/>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H680" s="1"/>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H681" s="1"/>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H682" s="1"/>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H683" s="1"/>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H684" s="1"/>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H685" s="1"/>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H686" s="1"/>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H687" s="1"/>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H688" s="1"/>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H689" s="1"/>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H690" s="1"/>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H691" s="1"/>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H692" s="1"/>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H693" s="1"/>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H694" s="1"/>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H695" s="1"/>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H696" s="1"/>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H697" s="1"/>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H698" s="1"/>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H699" s="1"/>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H700" s="1"/>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H701" s="1"/>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H702" s="1"/>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H703" s="1"/>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H704" s="1"/>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H705" s="1"/>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H706" s="1"/>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H707" s="1"/>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H708" s="1"/>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H709" s="1"/>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H710" s="1"/>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H711" s="1"/>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H712" s="1"/>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H713" s="1"/>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H714" s="1"/>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H715" s="1"/>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H716" s="1"/>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H717" s="1"/>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H718" s="1"/>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H719" s="1"/>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H720" s="1"/>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H721" s="1"/>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H722" s="1"/>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H723" s="1"/>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H724" s="1"/>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H725" s="1"/>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H726" s="1"/>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H727" s="1"/>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H728" s="1"/>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H729" s="1"/>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H730" s="1"/>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H731" s="1"/>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H732" s="1"/>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H733" s="1"/>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H734" s="1"/>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H735" s="1"/>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H736" s="1"/>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H737" s="1"/>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H738" s="1"/>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H739" s="1"/>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H740" s="1"/>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H741" s="1"/>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H742" s="1"/>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H743" s="1"/>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H744" s="1"/>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H745" s="1"/>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H746" s="1"/>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H747" s="1"/>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H748" s="1"/>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H749" s="1"/>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H750" s="1"/>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H751" s="1"/>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H752" s="1"/>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H753" s="1"/>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H754" s="1"/>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H755" s="1"/>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H756" s="1"/>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H757" s="1"/>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H758" s="1"/>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H759" s="1"/>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H760" s="1"/>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H761" s="1"/>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H762" s="1"/>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H763" s="1"/>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H764" s="1"/>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H765" s="1"/>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H766" s="1"/>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H767" s="1"/>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H768" s="1"/>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H769" s="1"/>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H770" s="1"/>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H771" s="1"/>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H772" s="1"/>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H773" s="1"/>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H774" s="1"/>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H775" s="1"/>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H776" s="1"/>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H777" s="1"/>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H778" s="1"/>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H779" s="1"/>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H780" s="1"/>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H781" s="1"/>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H782" s="1"/>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H783" s="1"/>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H784" s="1"/>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H785" s="1"/>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H786" s="1"/>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H787" s="1"/>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H788" s="1"/>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H789" s="1"/>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H790" s="1"/>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H791" s="1"/>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H792" s="1"/>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H793" s="1"/>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H794" s="1"/>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H795" s="1"/>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H796" s="1"/>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H797" s="1"/>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H798" s="1"/>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H799" s="1"/>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H800" s="1"/>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H801" s="1"/>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H802" s="1"/>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H803" s="1"/>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H804" s="1"/>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H805" s="1"/>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H806" s="1"/>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H807" s="1"/>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H808" s="1"/>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H809" s="1"/>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H810" s="1"/>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H811" s="1"/>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H812" s="1"/>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H813" s="1"/>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H814" s="1"/>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H815" s="1"/>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H816" s="1"/>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H817" s="1"/>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H818" s="1"/>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H819" s="1"/>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H820" s="1"/>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H821" s="1"/>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H822" s="1"/>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H823" s="1"/>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H824" s="1"/>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H825" s="1"/>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H826" s="1"/>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H827" s="1"/>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H828" s="1"/>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H829" s="1"/>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H830" s="1"/>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H831" s="1"/>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H832" s="1"/>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H833" s="1"/>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H834" s="1"/>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H835" s="1"/>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H836" s="1"/>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H837" s="1"/>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H838" s="1"/>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H839" s="1"/>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H840" s="1"/>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H841" s="1"/>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H842" s="1"/>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H843" s="1"/>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H844" s="1"/>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H845" s="1"/>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H846" s="1"/>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H847" s="1"/>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H848" s="1"/>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H849" s="1"/>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H850" s="1"/>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H851" s="1"/>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H852" s="1"/>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H853" s="1"/>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H854" s="1"/>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H855" s="1"/>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H856" s="1"/>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H857" s="1"/>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H858" s="1"/>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H859" s="1"/>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H860" s="1"/>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H861" s="1"/>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H862" s="1"/>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H863" s="1"/>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H864" s="1"/>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H865" s="1"/>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H866" s="1"/>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H867" s="1"/>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H868" s="1"/>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H869" s="1"/>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H870" s="1"/>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H871" s="1"/>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H872" s="1"/>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H873" s="1"/>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H874" s="1"/>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H875" s="1"/>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H876" s="1"/>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H877" s="1"/>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H878" s="1"/>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H879" s="1"/>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H880" s="1"/>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H881" s="1"/>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H882" s="1"/>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H883" s="1"/>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H884" s="1"/>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H885" s="1"/>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H886" s="1"/>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H887" s="1"/>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H888" s="1"/>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H889" s="1"/>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H890" s="1"/>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H891" s="1"/>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H892" s="1"/>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H893" s="1"/>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H894" s="1"/>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H895" s="1"/>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H896" s="1"/>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H897" s="1"/>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H898" s="1"/>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H899" s="1"/>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H900" s="1"/>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H901" s="1"/>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H902" s="1"/>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H903" s="1"/>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H904" s="1"/>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H905" s="1"/>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H906" s="1"/>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H907" s="1"/>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H908" s="1"/>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H909" s="1"/>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H910" s="1"/>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H911" s="1"/>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H912" s="1"/>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H913" s="1"/>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H914" s="1"/>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H915" s="1"/>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H916" s="1"/>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H917" s="1"/>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H918" s="1"/>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H919" s="1"/>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H920" s="1"/>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H921" s="1"/>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H922" s="1"/>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H923" s="1"/>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H924" s="1"/>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H925" s="1"/>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H926" s="1"/>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H927" s="1"/>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H928" s="1"/>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H929" s="1"/>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H930" s="1"/>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H931" s="1"/>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H932" s="1"/>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H933" s="1"/>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H934" s="1"/>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H935" s="1"/>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H936" s="1"/>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H937" s="1"/>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H938" s="1"/>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H939" s="1"/>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H940" s="1"/>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H941" s="1"/>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H942" s="1"/>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H943" s="1"/>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H944" s="1"/>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H945" s="1"/>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H946" s="1"/>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H947" s="1"/>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H948" s="1"/>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H949" s="1"/>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H950" s="1"/>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H951" s="1"/>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H952" s="1"/>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H953" s="1"/>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H954" s="1"/>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H955" s="1"/>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H956" s="1"/>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H957" s="1"/>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H958" s="1"/>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H959" s="1"/>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H960" s="1"/>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H961" s="1"/>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H962" s="1"/>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H963" s="1"/>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H964" s="1"/>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H965" s="1"/>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H966" s="1"/>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H967" s="1"/>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H968" s="1"/>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H969" s="1"/>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H970" s="1"/>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H971" s="1"/>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H972" s="1"/>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H973" s="1"/>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H974" s="1"/>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H975" s="1"/>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H976" s="1"/>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H977" s="1"/>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H978" s="1"/>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H979" s="1"/>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H980" s="1"/>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H981" s="1"/>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H982" s="1"/>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H983" s="1"/>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H984" s="1"/>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H985" s="1"/>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H986" s="1"/>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H987" s="1"/>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H988" s="1"/>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H989" s="1"/>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H990" s="1"/>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H991" s="1"/>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H992" s="1"/>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H993" s="1"/>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H994" s="1"/>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H995" s="1"/>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H996" s="1"/>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H997" s="1"/>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H998" s="1"/>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H999" s="1"/>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H1000" s="1"/>
      <c r="I1000" s="1"/>
      <c r="J1000" s="1"/>
      <c r="K1000" s="1"/>
      <c r="L1000" s="1"/>
      <c r="M1000" s="1"/>
      <c r="N1000" s="1"/>
      <c r="O1000" s="1"/>
      <c r="P1000" s="1"/>
      <c r="Q1000" s="1"/>
      <c r="R1000" s="1"/>
      <c r="S1000" s="1"/>
      <c r="T1000" s="1"/>
      <c r="U1000" s="1"/>
      <c r="V1000" s="1"/>
      <c r="W1000" s="1"/>
      <c r="X1000" s="1"/>
      <c r="Y1000" s="1"/>
      <c r="Z1000" s="1"/>
    </row>
  </sheetData>
  <autoFilter ref="A3:G13"/>
  <mergeCells count="9">
    <mergeCell ref="A1:G1"/>
    <mergeCell ref="A2:G2"/>
    <mergeCell ref="A15:G15"/>
    <mergeCell ref="A16:G16"/>
    <mergeCell ref="A17:G17"/>
    <mergeCell ref="A18:G18"/>
    <mergeCell ref="A19:G19"/>
    <mergeCell ref="A20:G20"/>
    <mergeCell ref="A21:G2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5"/>
    <col collapsed="false" customWidth="true" hidden="false" outlineLevel="0" max="2" min="2" style="1" width="36"/>
    <col collapsed="false" customWidth="true" hidden="false" outlineLevel="0" max="3" min="3" style="1" width="22"/>
    <col collapsed="false" customWidth="true" hidden="false" outlineLevel="0" max="4" min="4" style="1" width="14"/>
    <col collapsed="false" customWidth="true" hidden="false" outlineLevel="0" max="5" min="5" style="1" width="16"/>
    <col collapsed="false" customWidth="true" hidden="false" outlineLevel="0" max="6" min="6" style="1" width="12"/>
    <col collapsed="false" customWidth="true" hidden="false" outlineLevel="0" max="7" min="7" style="1" width="10"/>
  </cols>
  <sheetData>
    <row r="1" customFormat="false" ht="39.75" hidden="false" customHeight="true" outlineLevel="0" collapsed="false">
      <c r="A1" s="73" t="s">
        <v>354</v>
      </c>
      <c r="B1" s="73"/>
      <c r="C1" s="73"/>
      <c r="D1" s="73"/>
      <c r="E1" s="73"/>
      <c r="F1" s="73"/>
      <c r="G1" s="73"/>
      <c r="H1" s="1"/>
      <c r="I1" s="1"/>
      <c r="J1" s="1"/>
      <c r="K1" s="1"/>
      <c r="L1" s="1"/>
      <c r="M1" s="1"/>
      <c r="N1" s="1"/>
      <c r="O1" s="1"/>
      <c r="P1" s="1"/>
      <c r="Q1" s="1"/>
      <c r="R1" s="1"/>
      <c r="S1" s="1"/>
      <c r="T1" s="1"/>
      <c r="U1" s="1"/>
      <c r="V1" s="1"/>
      <c r="W1" s="1"/>
      <c r="X1" s="1"/>
      <c r="Y1" s="1"/>
      <c r="Z1" s="1"/>
    </row>
    <row r="2" customFormat="false" ht="19.5" hidden="false" customHeight="true" outlineLevel="0" collapsed="false">
      <c r="A2" s="63" t="s">
        <v>312</v>
      </c>
      <c r="B2" s="63"/>
      <c r="C2" s="63"/>
      <c r="D2" s="63"/>
      <c r="E2" s="63"/>
      <c r="F2" s="63"/>
      <c r="G2" s="63"/>
      <c r="H2" s="1"/>
      <c r="I2" s="1"/>
      <c r="J2" s="1"/>
      <c r="K2" s="1"/>
      <c r="L2" s="1"/>
      <c r="M2" s="1"/>
      <c r="N2" s="1"/>
      <c r="O2" s="1"/>
      <c r="P2" s="1"/>
      <c r="Q2" s="1"/>
      <c r="R2" s="1"/>
      <c r="S2" s="1"/>
      <c r="T2" s="1"/>
      <c r="U2" s="1"/>
      <c r="V2" s="1"/>
      <c r="W2" s="1"/>
      <c r="X2" s="1"/>
      <c r="Y2" s="1"/>
      <c r="Z2" s="1"/>
    </row>
    <row r="3" customFormat="false" ht="26.25" hidden="false" customHeight="true" outlineLevel="0" collapsed="false">
      <c r="A3" s="74" t="s">
        <v>55</v>
      </c>
      <c r="B3" s="74" t="s">
        <v>56</v>
      </c>
      <c r="C3" s="74" t="s">
        <v>313</v>
      </c>
      <c r="D3" s="74" t="s">
        <v>314</v>
      </c>
      <c r="E3" s="74" t="s">
        <v>315</v>
      </c>
      <c r="F3" s="74" t="s">
        <v>316</v>
      </c>
      <c r="G3" s="74" t="s">
        <v>317</v>
      </c>
      <c r="H3" s="1"/>
      <c r="I3" s="1"/>
      <c r="J3" s="1"/>
      <c r="K3" s="1"/>
      <c r="L3" s="1"/>
      <c r="M3" s="1"/>
      <c r="N3" s="1"/>
      <c r="O3" s="1"/>
      <c r="P3" s="1"/>
      <c r="Q3" s="1"/>
      <c r="R3" s="1"/>
      <c r="S3" s="1"/>
      <c r="T3" s="1"/>
      <c r="U3" s="1"/>
      <c r="V3" s="1"/>
      <c r="W3" s="1"/>
      <c r="X3" s="1"/>
      <c r="Y3" s="1"/>
      <c r="Z3" s="1"/>
    </row>
    <row r="4" customFormat="false" ht="15" hidden="false" customHeight="true" outlineLevel="0" collapsed="false">
      <c r="A4" s="23" t="n">
        <v>1</v>
      </c>
      <c r="B4" s="24" t="s">
        <v>355</v>
      </c>
      <c r="C4" s="24" t="s">
        <v>321</v>
      </c>
      <c r="D4" s="25" t="n">
        <v>27</v>
      </c>
      <c r="E4" s="25" t="n">
        <v>92.67</v>
      </c>
      <c r="F4" s="75" t="n">
        <f aca="false">D4/2145</f>
        <v>0.0125874125874126</v>
      </c>
      <c r="G4" s="76" t="n">
        <f aca="false">IF(D4&gt;0,E4/D4,0)</f>
        <v>3.43222222222222</v>
      </c>
      <c r="H4" s="1"/>
      <c r="I4" s="1"/>
      <c r="J4" s="1"/>
      <c r="K4" s="1"/>
      <c r="L4" s="1"/>
      <c r="M4" s="1"/>
      <c r="N4" s="1"/>
      <c r="O4" s="1"/>
      <c r="P4" s="1"/>
      <c r="Q4" s="1"/>
      <c r="R4" s="1"/>
      <c r="S4" s="1"/>
      <c r="T4" s="1"/>
      <c r="U4" s="1"/>
      <c r="V4" s="1"/>
      <c r="W4" s="1"/>
      <c r="X4" s="1"/>
      <c r="Y4" s="1"/>
      <c r="Z4" s="1"/>
    </row>
    <row r="5" customFormat="false" ht="15" hidden="false" customHeight="true" outlineLevel="0" collapsed="false">
      <c r="A5" s="28" t="n">
        <v>2</v>
      </c>
      <c r="B5" s="29" t="s">
        <v>356</v>
      </c>
      <c r="C5" s="29" t="s">
        <v>319</v>
      </c>
      <c r="D5" s="30" t="n">
        <v>50</v>
      </c>
      <c r="E5" s="30" t="n">
        <v>168.5</v>
      </c>
      <c r="F5" s="75" t="n">
        <f aca="false">D5/2145</f>
        <v>0.0233100233100233</v>
      </c>
      <c r="G5" s="76" t="n">
        <f aca="false">IF(D5&gt;0,E5/D5,0)</f>
        <v>3.37</v>
      </c>
      <c r="H5" s="1"/>
      <c r="I5" s="1"/>
      <c r="J5" s="1"/>
      <c r="K5" s="1"/>
      <c r="L5" s="1"/>
      <c r="M5" s="1"/>
      <c r="N5" s="1"/>
      <c r="O5" s="1"/>
      <c r="P5" s="1"/>
      <c r="Q5" s="1"/>
      <c r="R5" s="1"/>
      <c r="S5" s="1"/>
      <c r="T5" s="1"/>
      <c r="U5" s="1"/>
      <c r="V5" s="1"/>
      <c r="W5" s="1"/>
      <c r="X5" s="1"/>
      <c r="Y5" s="1"/>
      <c r="Z5" s="1"/>
    </row>
    <row r="6" customFormat="false" ht="15" hidden="false" customHeight="true" outlineLevel="0" collapsed="false">
      <c r="A6" s="23" t="n">
        <v>3</v>
      </c>
      <c r="B6" s="24" t="s">
        <v>347</v>
      </c>
      <c r="C6" s="24" t="s">
        <v>321</v>
      </c>
      <c r="D6" s="25" t="n">
        <v>7</v>
      </c>
      <c r="E6" s="25" t="n">
        <v>23.25</v>
      </c>
      <c r="F6" s="75" t="n">
        <f aca="false">D6/2145</f>
        <v>0.00326340326340326</v>
      </c>
      <c r="G6" s="76" t="n">
        <f aca="false">IF(D6&gt;0,E6/D6,0)</f>
        <v>3.32142857142857</v>
      </c>
      <c r="H6" s="1"/>
      <c r="I6" s="1"/>
      <c r="J6" s="1"/>
      <c r="K6" s="1"/>
      <c r="L6" s="1"/>
      <c r="M6" s="1"/>
      <c r="N6" s="1"/>
      <c r="O6" s="1"/>
      <c r="P6" s="1"/>
      <c r="Q6" s="1"/>
      <c r="R6" s="1"/>
      <c r="S6" s="1"/>
      <c r="T6" s="1"/>
      <c r="U6" s="1"/>
      <c r="V6" s="1"/>
      <c r="W6" s="1"/>
      <c r="X6" s="1"/>
      <c r="Y6" s="1"/>
      <c r="Z6" s="1"/>
    </row>
    <row r="7" customFormat="false" ht="15" hidden="false" customHeight="true" outlineLevel="0" collapsed="false">
      <c r="A7" s="28" t="n">
        <v>4</v>
      </c>
      <c r="B7" s="29" t="s">
        <v>357</v>
      </c>
      <c r="C7" s="29" t="s">
        <v>319</v>
      </c>
      <c r="D7" s="30" t="n">
        <v>12</v>
      </c>
      <c r="E7" s="30" t="n">
        <v>31.03</v>
      </c>
      <c r="F7" s="75" t="n">
        <f aca="false">D7/2145</f>
        <v>0.00559440559440559</v>
      </c>
      <c r="G7" s="76" t="n">
        <f aca="false">IF(D7&gt;0,E7/D7,0)</f>
        <v>2.58583333333333</v>
      </c>
      <c r="H7" s="1"/>
      <c r="I7" s="1"/>
      <c r="J7" s="1"/>
      <c r="K7" s="1"/>
      <c r="L7" s="1"/>
      <c r="M7" s="1"/>
      <c r="N7" s="1"/>
      <c r="O7" s="1"/>
      <c r="P7" s="1"/>
      <c r="Q7" s="1"/>
      <c r="R7" s="1"/>
      <c r="S7" s="1"/>
      <c r="T7" s="1"/>
      <c r="U7" s="1"/>
      <c r="V7" s="1"/>
      <c r="W7" s="1"/>
      <c r="X7" s="1"/>
      <c r="Y7" s="1"/>
      <c r="Z7" s="1"/>
    </row>
    <row r="8" customFormat="false" ht="15" hidden="false" customHeight="true" outlineLevel="0" collapsed="false">
      <c r="A8" s="23" t="n">
        <v>5</v>
      </c>
      <c r="B8" s="24" t="s">
        <v>326</v>
      </c>
      <c r="C8" s="24" t="s">
        <v>325</v>
      </c>
      <c r="D8" s="25" t="n">
        <v>120</v>
      </c>
      <c r="E8" s="25" t="n">
        <v>285.92</v>
      </c>
      <c r="F8" s="75" t="n">
        <f aca="false">D8/2145</f>
        <v>0.0559440559440559</v>
      </c>
      <c r="G8" s="76" t="n">
        <f aca="false">IF(D8&gt;0,E8/D8,0)</f>
        <v>2.38266666666667</v>
      </c>
      <c r="H8" s="1"/>
      <c r="I8" s="1"/>
      <c r="J8" s="1"/>
      <c r="K8" s="1"/>
      <c r="L8" s="1"/>
      <c r="M8" s="1"/>
      <c r="N8" s="1"/>
      <c r="O8" s="1"/>
      <c r="P8" s="1"/>
      <c r="Q8" s="1"/>
      <c r="R8" s="1"/>
      <c r="S8" s="1"/>
      <c r="T8" s="1"/>
      <c r="U8" s="1"/>
      <c r="V8" s="1"/>
      <c r="W8" s="1"/>
      <c r="X8" s="1"/>
      <c r="Y8" s="1"/>
      <c r="Z8" s="1"/>
    </row>
    <row r="9" customFormat="false" ht="15" hidden="false" customHeight="true" outlineLevel="0" collapsed="false">
      <c r="A9" s="28" t="n">
        <v>6</v>
      </c>
      <c r="B9" s="29" t="s">
        <v>327</v>
      </c>
      <c r="C9" s="29" t="s">
        <v>319</v>
      </c>
      <c r="D9" s="30" t="n">
        <v>115</v>
      </c>
      <c r="E9" s="30" t="n">
        <v>249.58</v>
      </c>
      <c r="F9" s="75" t="n">
        <f aca="false">D9/2145</f>
        <v>0.0536130536130536</v>
      </c>
      <c r="G9" s="76" t="n">
        <f aca="false">IF(D9&gt;0,E9/D9,0)</f>
        <v>2.17026086956522</v>
      </c>
      <c r="H9" s="1"/>
      <c r="I9" s="1"/>
      <c r="J9" s="1"/>
      <c r="K9" s="1"/>
      <c r="L9" s="1"/>
      <c r="M9" s="1"/>
      <c r="N9" s="1"/>
      <c r="O9" s="1"/>
      <c r="P9" s="1"/>
      <c r="Q9" s="1"/>
      <c r="R9" s="1"/>
      <c r="S9" s="1"/>
      <c r="T9" s="1"/>
      <c r="U9" s="1"/>
      <c r="V9" s="1"/>
      <c r="W9" s="1"/>
      <c r="X9" s="1"/>
      <c r="Y9" s="1"/>
      <c r="Z9" s="1"/>
    </row>
    <row r="10" customFormat="false" ht="15" hidden="false" customHeight="true" outlineLevel="0" collapsed="false">
      <c r="A10" s="23" t="n">
        <v>7</v>
      </c>
      <c r="B10" s="24" t="s">
        <v>331</v>
      </c>
      <c r="C10" s="24" t="s">
        <v>325</v>
      </c>
      <c r="D10" s="25" t="n">
        <v>109</v>
      </c>
      <c r="E10" s="25" t="n">
        <v>233.28</v>
      </c>
      <c r="F10" s="75" t="n">
        <f aca="false">D10/2145</f>
        <v>0.0508158508158508</v>
      </c>
      <c r="G10" s="76" t="n">
        <f aca="false">IF(D10&gt;0,E10/D10,0)</f>
        <v>2.14018348623853</v>
      </c>
      <c r="H10" s="1"/>
      <c r="I10" s="1"/>
      <c r="J10" s="1"/>
      <c r="K10" s="1"/>
      <c r="L10" s="1"/>
      <c r="M10" s="1"/>
      <c r="N10" s="1"/>
      <c r="O10" s="1"/>
      <c r="P10" s="1"/>
      <c r="Q10" s="1"/>
      <c r="R10" s="1"/>
      <c r="S10" s="1"/>
      <c r="T10" s="1"/>
      <c r="U10" s="1"/>
      <c r="V10" s="1"/>
      <c r="W10" s="1"/>
      <c r="X10" s="1"/>
      <c r="Y10" s="1"/>
      <c r="Z10" s="1"/>
    </row>
    <row r="11" customFormat="false" ht="15" hidden="false" customHeight="true" outlineLevel="0" collapsed="false">
      <c r="A11" s="28" t="n">
        <v>8</v>
      </c>
      <c r="B11" s="29" t="s">
        <v>324</v>
      </c>
      <c r="C11" s="29" t="s">
        <v>325</v>
      </c>
      <c r="D11" s="30" t="n">
        <v>124</v>
      </c>
      <c r="E11" s="30" t="n">
        <v>259</v>
      </c>
      <c r="F11" s="75" t="n">
        <f aca="false">D11/2145</f>
        <v>0.0578088578088578</v>
      </c>
      <c r="G11" s="76" t="n">
        <f aca="false">IF(D11&gt;0,E11/D11,0)</f>
        <v>2.08870967741936</v>
      </c>
      <c r="H11" s="1"/>
      <c r="I11" s="1"/>
      <c r="J11" s="1"/>
      <c r="K11" s="1"/>
      <c r="L11" s="1"/>
      <c r="M11" s="1"/>
      <c r="N11" s="1"/>
      <c r="O11" s="1"/>
      <c r="P11" s="1"/>
      <c r="Q11" s="1"/>
      <c r="R11" s="1"/>
      <c r="S11" s="1"/>
      <c r="T11" s="1"/>
      <c r="U11" s="1"/>
      <c r="V11" s="1"/>
      <c r="W11" s="1"/>
      <c r="X11" s="1"/>
      <c r="Y11" s="1"/>
      <c r="Z11" s="1"/>
    </row>
    <row r="12" customFormat="false" ht="15" hidden="false" customHeight="true" outlineLevel="0" collapsed="false">
      <c r="A12" s="23" t="n">
        <v>9</v>
      </c>
      <c r="B12" s="24" t="s">
        <v>358</v>
      </c>
      <c r="C12" s="24" t="s">
        <v>321</v>
      </c>
      <c r="D12" s="25" t="n">
        <v>48</v>
      </c>
      <c r="E12" s="25" t="n">
        <v>95.18</v>
      </c>
      <c r="F12" s="75" t="n">
        <f aca="false">D12/2145</f>
        <v>0.0223776223776224</v>
      </c>
      <c r="G12" s="76" t="n">
        <f aca="false">IF(D12&gt;0,E12/D12,0)</f>
        <v>1.98291666666667</v>
      </c>
      <c r="H12" s="1"/>
      <c r="I12" s="1"/>
      <c r="J12" s="1"/>
      <c r="K12" s="1"/>
      <c r="L12" s="1"/>
      <c r="M12" s="1"/>
      <c r="N12" s="1"/>
      <c r="O12" s="1"/>
      <c r="P12" s="1"/>
      <c r="Q12" s="1"/>
      <c r="R12" s="1"/>
      <c r="S12" s="1"/>
      <c r="T12" s="1"/>
      <c r="U12" s="1"/>
      <c r="V12" s="1"/>
      <c r="W12" s="1"/>
      <c r="X12" s="1"/>
      <c r="Y12" s="1"/>
      <c r="Z12" s="1"/>
    </row>
    <row r="13" customFormat="false" ht="15" hidden="false" customHeight="true" outlineLevel="0" collapsed="false">
      <c r="A13" s="28" t="n">
        <v>10</v>
      </c>
      <c r="B13" s="29" t="s">
        <v>332</v>
      </c>
      <c r="C13" s="29" t="s">
        <v>325</v>
      </c>
      <c r="D13" s="30" t="n">
        <v>103</v>
      </c>
      <c r="E13" s="30" t="n">
        <v>202.5</v>
      </c>
      <c r="F13" s="75" t="n">
        <f aca="false">D13/2145</f>
        <v>0.048018648018648</v>
      </c>
      <c r="G13" s="76" t="n">
        <f aca="false">IF(D13&gt;0,E13/D13,0)</f>
        <v>1.96601941747573</v>
      </c>
      <c r="H13" s="1"/>
      <c r="I13" s="1"/>
      <c r="J13" s="1"/>
      <c r="K13" s="1"/>
      <c r="L13" s="1"/>
      <c r="M13" s="1"/>
      <c r="N13" s="1"/>
      <c r="O13" s="1"/>
      <c r="P13" s="1"/>
      <c r="Q13" s="1"/>
      <c r="R13" s="1"/>
      <c r="S13" s="1"/>
      <c r="T13" s="1"/>
      <c r="U13" s="1"/>
      <c r="V13" s="1"/>
      <c r="W13" s="1"/>
      <c r="X13" s="1"/>
      <c r="Y13" s="1"/>
      <c r="Z13" s="1"/>
    </row>
    <row r="14" customFormat="false" ht="15" hidden="false" customHeight="true" outlineLevel="0" collapsed="false">
      <c r="A14" s="23" t="n">
        <v>11</v>
      </c>
      <c r="B14" s="24" t="s">
        <v>359</v>
      </c>
      <c r="C14" s="24" t="s">
        <v>321</v>
      </c>
      <c r="D14" s="25" t="n">
        <v>45</v>
      </c>
      <c r="E14" s="25" t="n">
        <v>85.83</v>
      </c>
      <c r="F14" s="75" t="n">
        <f aca="false">D14/2145</f>
        <v>0.020979020979021</v>
      </c>
      <c r="G14" s="76" t="n">
        <f aca="false">IF(D14&gt;0,E14/D14,0)</f>
        <v>1.90733333333333</v>
      </c>
      <c r="H14" s="1"/>
      <c r="I14" s="1"/>
      <c r="J14" s="1"/>
      <c r="K14" s="1"/>
      <c r="L14" s="1"/>
      <c r="M14" s="1"/>
      <c r="N14" s="1"/>
      <c r="O14" s="1"/>
      <c r="P14" s="1"/>
      <c r="Q14" s="1"/>
      <c r="R14" s="1"/>
      <c r="S14" s="1"/>
      <c r="T14" s="1"/>
      <c r="U14" s="1"/>
      <c r="V14" s="1"/>
      <c r="W14" s="1"/>
      <c r="X14" s="1"/>
      <c r="Y14" s="1"/>
      <c r="Z14" s="1"/>
    </row>
    <row r="15" customFormat="false" ht="15" hidden="false" customHeight="true" outlineLevel="0" collapsed="false">
      <c r="A15" s="28" t="n">
        <v>12</v>
      </c>
      <c r="B15" s="29" t="s">
        <v>360</v>
      </c>
      <c r="C15" s="29" t="s">
        <v>361</v>
      </c>
      <c r="D15" s="30" t="n">
        <v>91</v>
      </c>
      <c r="E15" s="30" t="n">
        <v>172.58</v>
      </c>
      <c r="F15" s="75" t="n">
        <f aca="false">D15/2145</f>
        <v>0.0424242424242424</v>
      </c>
      <c r="G15" s="76" t="n">
        <f aca="false">IF(D15&gt;0,E15/D15,0)</f>
        <v>1.89648351648352</v>
      </c>
      <c r="H15" s="1"/>
      <c r="I15" s="1"/>
      <c r="J15" s="1"/>
      <c r="K15" s="1"/>
      <c r="L15" s="1"/>
      <c r="M15" s="1"/>
      <c r="N15" s="1"/>
      <c r="O15" s="1"/>
      <c r="P15" s="1"/>
      <c r="Q15" s="1"/>
      <c r="R15" s="1"/>
      <c r="S15" s="1"/>
      <c r="T15" s="1"/>
      <c r="U15" s="1"/>
      <c r="V15" s="1"/>
      <c r="W15" s="1"/>
      <c r="X15" s="1"/>
      <c r="Y15" s="1"/>
      <c r="Z15" s="1"/>
    </row>
    <row r="16" customFormat="false" ht="15" hidden="false" customHeight="true" outlineLevel="0" collapsed="false">
      <c r="A16" s="23" t="n">
        <v>13</v>
      </c>
      <c r="B16" s="24" t="s">
        <v>348</v>
      </c>
      <c r="C16" s="24" t="s">
        <v>329</v>
      </c>
      <c r="D16" s="25" t="n">
        <v>8</v>
      </c>
      <c r="E16" s="25" t="n">
        <v>15</v>
      </c>
      <c r="F16" s="75" t="n">
        <f aca="false">D16/2145</f>
        <v>0.00372960372960373</v>
      </c>
      <c r="G16" s="76" t="n">
        <f aca="false">IF(D16&gt;0,E16/D16,0)</f>
        <v>1.875</v>
      </c>
      <c r="H16" s="1"/>
      <c r="I16" s="1"/>
      <c r="J16" s="1"/>
      <c r="K16" s="1"/>
      <c r="L16" s="1"/>
      <c r="M16" s="1"/>
      <c r="N16" s="1"/>
      <c r="O16" s="1"/>
      <c r="P16" s="1"/>
      <c r="Q16" s="1"/>
      <c r="R16" s="1"/>
      <c r="S16" s="1"/>
      <c r="T16" s="1"/>
      <c r="U16" s="1"/>
      <c r="V16" s="1"/>
      <c r="W16" s="1"/>
      <c r="X16" s="1"/>
      <c r="Y16" s="1"/>
      <c r="Z16" s="1"/>
    </row>
    <row r="17" customFormat="false" ht="15" hidden="false" customHeight="true" outlineLevel="0" collapsed="false">
      <c r="A17" s="28" t="n">
        <v>14</v>
      </c>
      <c r="B17" s="29" t="s">
        <v>362</v>
      </c>
      <c r="C17" s="29" t="s">
        <v>361</v>
      </c>
      <c r="D17" s="30" t="n">
        <v>29</v>
      </c>
      <c r="E17" s="30" t="n">
        <v>53.92</v>
      </c>
      <c r="F17" s="75" t="n">
        <f aca="false">D17/2145</f>
        <v>0.0135198135198135</v>
      </c>
      <c r="G17" s="76" t="n">
        <f aca="false">IF(D17&gt;0,E17/D17,0)</f>
        <v>1.85931034482759</v>
      </c>
      <c r="H17" s="1"/>
      <c r="I17" s="1"/>
      <c r="J17" s="1"/>
      <c r="K17" s="1"/>
      <c r="L17" s="1"/>
      <c r="M17" s="1"/>
      <c r="N17" s="1"/>
      <c r="O17" s="1"/>
      <c r="P17" s="1"/>
      <c r="Q17" s="1"/>
      <c r="R17" s="1"/>
      <c r="S17" s="1"/>
      <c r="T17" s="1"/>
      <c r="U17" s="1"/>
      <c r="V17" s="1"/>
      <c r="W17" s="1"/>
      <c r="X17" s="1"/>
      <c r="Y17" s="1"/>
      <c r="Z17" s="1"/>
    </row>
    <row r="18" customFormat="false" ht="15" hidden="false" customHeight="true" outlineLevel="0" collapsed="false">
      <c r="A18" s="23" t="n">
        <v>15</v>
      </c>
      <c r="B18" s="24" t="s">
        <v>349</v>
      </c>
      <c r="C18" s="24" t="s">
        <v>325</v>
      </c>
      <c r="D18" s="25" t="n">
        <v>10</v>
      </c>
      <c r="E18" s="25" t="n">
        <v>18</v>
      </c>
      <c r="F18" s="75" t="n">
        <f aca="false">D18/2145</f>
        <v>0.00466200466200466</v>
      </c>
      <c r="G18" s="76" t="n">
        <f aca="false">IF(D18&gt;0,E18/D18,0)</f>
        <v>1.8</v>
      </c>
      <c r="H18" s="1"/>
      <c r="I18" s="1"/>
      <c r="J18" s="1"/>
      <c r="K18" s="1"/>
      <c r="L18" s="1"/>
      <c r="M18" s="1"/>
      <c r="N18" s="1"/>
      <c r="O18" s="1"/>
      <c r="P18" s="1"/>
      <c r="Q18" s="1"/>
      <c r="R18" s="1"/>
      <c r="S18" s="1"/>
      <c r="T18" s="1"/>
      <c r="U18" s="1"/>
      <c r="V18" s="1"/>
      <c r="W18" s="1"/>
      <c r="X18" s="1"/>
      <c r="Y18" s="1"/>
      <c r="Z18" s="1"/>
    </row>
    <row r="19" customFormat="false" ht="15" hidden="false" customHeight="true" outlineLevel="0" collapsed="false">
      <c r="A19" s="28" t="n">
        <v>16</v>
      </c>
      <c r="B19" s="29" t="s">
        <v>363</v>
      </c>
      <c r="C19" s="29" t="s">
        <v>319</v>
      </c>
      <c r="D19" s="30" t="n">
        <v>30</v>
      </c>
      <c r="E19" s="30" t="n">
        <v>50.58</v>
      </c>
      <c r="F19" s="75" t="n">
        <f aca="false">D19/2145</f>
        <v>0.013986013986014</v>
      </c>
      <c r="G19" s="76" t="n">
        <f aca="false">IF(D19&gt;0,E19/D19,0)</f>
        <v>1.686</v>
      </c>
      <c r="H19" s="1"/>
      <c r="I19" s="1"/>
      <c r="J19" s="1"/>
      <c r="K19" s="1"/>
      <c r="L19" s="1"/>
      <c r="M19" s="1"/>
      <c r="N19" s="1"/>
      <c r="O19" s="1"/>
      <c r="P19" s="1"/>
      <c r="Q19" s="1"/>
      <c r="R19" s="1"/>
      <c r="S19" s="1"/>
      <c r="T19" s="1"/>
      <c r="U19" s="1"/>
      <c r="V19" s="1"/>
      <c r="W19" s="1"/>
      <c r="X19" s="1"/>
      <c r="Y19" s="1"/>
      <c r="Z19" s="1"/>
    </row>
    <row r="20" customFormat="false" ht="15" hidden="false" customHeight="true" outlineLevel="0" collapsed="false">
      <c r="A20" s="23" t="n">
        <v>17</v>
      </c>
      <c r="B20" s="24" t="s">
        <v>364</v>
      </c>
      <c r="C20" s="24" t="s">
        <v>329</v>
      </c>
      <c r="D20" s="25" t="n">
        <v>15</v>
      </c>
      <c r="E20" s="25" t="n">
        <v>23.5</v>
      </c>
      <c r="F20" s="75" t="n">
        <f aca="false">D20/2145</f>
        <v>0.00699300699300699</v>
      </c>
      <c r="G20" s="76" t="n">
        <f aca="false">IF(D20&gt;0,E20/D20,0)</f>
        <v>1.56666666666667</v>
      </c>
      <c r="H20" s="1"/>
      <c r="I20" s="1"/>
      <c r="J20" s="1"/>
      <c r="K20" s="1"/>
      <c r="L20" s="1"/>
      <c r="M20" s="1"/>
      <c r="N20" s="1"/>
      <c r="O20" s="1"/>
      <c r="P20" s="1"/>
      <c r="Q20" s="1"/>
      <c r="R20" s="1"/>
      <c r="S20" s="1"/>
      <c r="T20" s="1"/>
      <c r="U20" s="1"/>
      <c r="V20" s="1"/>
      <c r="W20" s="1"/>
      <c r="X20" s="1"/>
      <c r="Y20" s="1"/>
      <c r="Z20" s="1"/>
    </row>
    <row r="21" customFormat="false" ht="15.75" hidden="false" customHeight="true" outlineLevel="0" collapsed="false">
      <c r="A21" s="28" t="n">
        <v>18</v>
      </c>
      <c r="B21" s="29" t="s">
        <v>318</v>
      </c>
      <c r="C21" s="29" t="s">
        <v>319</v>
      </c>
      <c r="D21" s="30" t="n">
        <v>207</v>
      </c>
      <c r="E21" s="30" t="n">
        <v>319.49</v>
      </c>
      <c r="F21" s="75" t="n">
        <f aca="false">D21/2145</f>
        <v>0.0965034965034965</v>
      </c>
      <c r="G21" s="76" t="n">
        <f aca="false">IF(D21&gt;0,E21/D21,0)</f>
        <v>1.54342995169082</v>
      </c>
      <c r="H21" s="1"/>
      <c r="I21" s="1"/>
      <c r="J21" s="1"/>
      <c r="K21" s="1"/>
      <c r="L21" s="1"/>
      <c r="M21" s="1"/>
      <c r="N21" s="1"/>
      <c r="O21" s="1"/>
      <c r="P21" s="1"/>
      <c r="Q21" s="1"/>
      <c r="R21" s="1"/>
      <c r="S21" s="1"/>
      <c r="T21" s="1"/>
      <c r="U21" s="1"/>
      <c r="V21" s="1"/>
      <c r="W21" s="1"/>
      <c r="X21" s="1"/>
      <c r="Y21" s="1"/>
      <c r="Z21" s="1"/>
    </row>
    <row r="22" customFormat="false" ht="15.75" hidden="false" customHeight="true" outlineLevel="0" collapsed="false">
      <c r="A22" s="23" t="n">
        <v>19</v>
      </c>
      <c r="B22" s="24" t="s">
        <v>365</v>
      </c>
      <c r="C22" s="24" t="s">
        <v>323</v>
      </c>
      <c r="D22" s="25" t="n">
        <v>99</v>
      </c>
      <c r="E22" s="25" t="n">
        <v>143.08</v>
      </c>
      <c r="F22" s="75" t="n">
        <f aca="false">D22/2145</f>
        <v>0.0461538461538462</v>
      </c>
      <c r="G22" s="76" t="n">
        <f aca="false">IF(D22&gt;0,E22/D22,0)</f>
        <v>1.44525252525253</v>
      </c>
      <c r="H22" s="1"/>
      <c r="I22" s="1"/>
      <c r="J22" s="1"/>
      <c r="K22" s="1"/>
      <c r="L22" s="1"/>
      <c r="M22" s="1"/>
      <c r="N22" s="1"/>
      <c r="O22" s="1"/>
      <c r="P22" s="1"/>
      <c r="Q22" s="1"/>
      <c r="R22" s="1"/>
      <c r="S22" s="1"/>
      <c r="T22" s="1"/>
      <c r="U22" s="1"/>
      <c r="V22" s="1"/>
      <c r="W22" s="1"/>
      <c r="X22" s="1"/>
      <c r="Y22" s="1"/>
      <c r="Z22" s="1"/>
    </row>
    <row r="23" customFormat="false" ht="15.75" hidden="false" customHeight="true" outlineLevel="0" collapsed="false">
      <c r="A23" s="28" t="n">
        <v>20</v>
      </c>
      <c r="B23" s="29" t="s">
        <v>346</v>
      </c>
      <c r="C23" s="29" t="s">
        <v>329</v>
      </c>
      <c r="D23" s="30" t="n">
        <v>7</v>
      </c>
      <c r="E23" s="30" t="n">
        <v>9</v>
      </c>
      <c r="F23" s="75" t="n">
        <f aca="false">D23/2145</f>
        <v>0.00326340326340326</v>
      </c>
      <c r="G23" s="76" t="n">
        <f aca="false">IF(D23&gt;0,E23/D23,0)</f>
        <v>1.28571428571429</v>
      </c>
      <c r="H23" s="1"/>
      <c r="I23" s="1"/>
      <c r="J23" s="1"/>
      <c r="K23" s="1"/>
      <c r="L23" s="1"/>
      <c r="M23" s="1"/>
      <c r="N23" s="1"/>
      <c r="O23" s="1"/>
      <c r="P23" s="1"/>
      <c r="Q23" s="1"/>
      <c r="R23" s="1"/>
      <c r="S23" s="1"/>
      <c r="T23" s="1"/>
      <c r="U23" s="1"/>
      <c r="V23" s="1"/>
      <c r="W23" s="1"/>
      <c r="X23" s="1"/>
      <c r="Y23" s="1"/>
      <c r="Z23" s="1"/>
    </row>
    <row r="24" customFormat="false" ht="15.75" hidden="false" customHeight="true" outlineLevel="0" collapsed="false">
      <c r="A24" s="23" t="n">
        <v>21</v>
      </c>
      <c r="B24" s="24" t="s">
        <v>322</v>
      </c>
      <c r="C24" s="24" t="s">
        <v>323</v>
      </c>
      <c r="D24" s="25" t="n">
        <v>125</v>
      </c>
      <c r="E24" s="25" t="n">
        <v>151.72</v>
      </c>
      <c r="F24" s="75" t="n">
        <f aca="false">D24/2145</f>
        <v>0.0582750582750583</v>
      </c>
      <c r="G24" s="76" t="n">
        <f aca="false">IF(D24&gt;0,E24/D24,0)</f>
        <v>1.21376</v>
      </c>
      <c r="H24" s="1"/>
      <c r="I24" s="1"/>
      <c r="J24" s="1"/>
      <c r="K24" s="1"/>
      <c r="L24" s="1"/>
      <c r="M24" s="1"/>
      <c r="N24" s="1"/>
      <c r="O24" s="1"/>
      <c r="P24" s="1"/>
      <c r="Q24" s="1"/>
      <c r="R24" s="1"/>
      <c r="S24" s="1"/>
      <c r="T24" s="1"/>
      <c r="U24" s="1"/>
      <c r="V24" s="1"/>
      <c r="W24" s="1"/>
      <c r="X24" s="1"/>
      <c r="Y24" s="1"/>
      <c r="Z24" s="1"/>
    </row>
    <row r="25" customFormat="false" ht="15.75" hidden="false" customHeight="true" outlineLevel="0" collapsed="false">
      <c r="A25" s="28" t="n">
        <v>22</v>
      </c>
      <c r="B25" s="29" t="s">
        <v>320</v>
      </c>
      <c r="C25" s="29" t="s">
        <v>321</v>
      </c>
      <c r="D25" s="30" t="n">
        <v>193</v>
      </c>
      <c r="E25" s="30" t="n">
        <v>232</v>
      </c>
      <c r="F25" s="75" t="n">
        <f aca="false">D25/2145</f>
        <v>0.08997668997669</v>
      </c>
      <c r="G25" s="76" t="n">
        <f aca="false">IF(D25&gt;0,E25/D25,0)</f>
        <v>1.2020725388601</v>
      </c>
      <c r="H25" s="1"/>
      <c r="I25" s="1"/>
      <c r="J25" s="1"/>
      <c r="K25" s="1"/>
      <c r="L25" s="1"/>
      <c r="M25" s="1"/>
      <c r="N25" s="1"/>
      <c r="O25" s="1"/>
      <c r="P25" s="1"/>
      <c r="Q25" s="1"/>
      <c r="R25" s="1"/>
      <c r="S25" s="1"/>
      <c r="T25" s="1"/>
      <c r="U25" s="1"/>
      <c r="V25" s="1"/>
      <c r="W25" s="1"/>
      <c r="X25" s="1"/>
      <c r="Y25" s="1"/>
      <c r="Z25" s="1"/>
    </row>
    <row r="26" customFormat="false" ht="15.75" hidden="false" customHeight="true" outlineLevel="0" collapsed="false">
      <c r="A26" s="23" t="n">
        <v>23</v>
      </c>
      <c r="B26" s="24" t="s">
        <v>366</v>
      </c>
      <c r="C26" s="24" t="s">
        <v>321</v>
      </c>
      <c r="D26" s="25" t="n">
        <v>21</v>
      </c>
      <c r="E26" s="25" t="n">
        <v>22.5</v>
      </c>
      <c r="F26" s="75" t="n">
        <f aca="false">D26/2145</f>
        <v>0.00979020979020979</v>
      </c>
      <c r="G26" s="76" t="n">
        <f aca="false">IF(D26&gt;0,E26/D26,0)</f>
        <v>1.07142857142857</v>
      </c>
      <c r="H26" s="1"/>
      <c r="I26" s="1"/>
      <c r="J26" s="1"/>
      <c r="K26" s="1"/>
      <c r="L26" s="1"/>
      <c r="M26" s="1"/>
      <c r="N26" s="1"/>
      <c r="O26" s="1"/>
      <c r="P26" s="1"/>
      <c r="Q26" s="1"/>
      <c r="R26" s="1"/>
      <c r="S26" s="1"/>
      <c r="T26" s="1"/>
      <c r="U26" s="1"/>
      <c r="V26" s="1"/>
      <c r="W26" s="1"/>
      <c r="X26" s="1"/>
      <c r="Y26" s="1"/>
      <c r="Z26" s="1"/>
    </row>
    <row r="27" customFormat="false" ht="15.75" hidden="false" customHeight="true" outlineLevel="0" collapsed="false">
      <c r="A27" s="28" t="n">
        <v>24</v>
      </c>
      <c r="B27" s="29" t="s">
        <v>341</v>
      </c>
      <c r="C27" s="29" t="s">
        <v>321</v>
      </c>
      <c r="D27" s="30" t="n">
        <v>1</v>
      </c>
      <c r="E27" s="30" t="n">
        <v>1</v>
      </c>
      <c r="F27" s="75" t="n">
        <f aca="false">D27/2145</f>
        <v>0.000466200466200466</v>
      </c>
      <c r="G27" s="76" t="n">
        <f aca="false">IF(D27&gt;0,E27/D27,0)</f>
        <v>1</v>
      </c>
      <c r="H27" s="1"/>
      <c r="I27" s="1"/>
      <c r="J27" s="1"/>
      <c r="K27" s="1"/>
      <c r="L27" s="1"/>
      <c r="M27" s="1"/>
      <c r="N27" s="1"/>
      <c r="O27" s="1"/>
      <c r="P27" s="1"/>
      <c r="Q27" s="1"/>
      <c r="R27" s="1"/>
      <c r="S27" s="1"/>
      <c r="T27" s="1"/>
      <c r="U27" s="1"/>
      <c r="V27" s="1"/>
      <c r="W27" s="1"/>
      <c r="X27" s="1"/>
      <c r="Y27" s="1"/>
      <c r="Z27" s="1"/>
    </row>
    <row r="28" customFormat="false" ht="15.75" hidden="false" customHeight="true" outlineLevel="0" collapsed="false">
      <c r="A28" s="23" t="n">
        <v>25</v>
      </c>
      <c r="B28" s="24" t="s">
        <v>342</v>
      </c>
      <c r="C28" s="24" t="s">
        <v>325</v>
      </c>
      <c r="D28" s="25" t="n">
        <v>1</v>
      </c>
      <c r="E28" s="25" t="n">
        <v>0.92</v>
      </c>
      <c r="F28" s="75" t="n">
        <f aca="false">D28/2145</f>
        <v>0.000466200466200466</v>
      </c>
      <c r="G28" s="76" t="n">
        <f aca="false">IF(D28&gt;0,E28/D28,0)</f>
        <v>0.92</v>
      </c>
      <c r="H28" s="1"/>
      <c r="I28" s="1"/>
      <c r="J28" s="1"/>
      <c r="K28" s="1"/>
      <c r="L28" s="1"/>
      <c r="M28" s="1"/>
      <c r="N28" s="1"/>
      <c r="O28" s="1"/>
      <c r="P28" s="1"/>
      <c r="Q28" s="1"/>
      <c r="R28" s="1"/>
      <c r="S28" s="1"/>
      <c r="T28" s="1"/>
      <c r="U28" s="1"/>
      <c r="V28" s="1"/>
      <c r="W28" s="1"/>
      <c r="X28" s="1"/>
      <c r="Y28" s="1"/>
      <c r="Z28" s="1"/>
    </row>
    <row r="29" customFormat="false" ht="15.75" hidden="false" customHeight="true" outlineLevel="0" collapsed="false">
      <c r="A29" s="28" t="n">
        <v>26</v>
      </c>
      <c r="B29" s="29" t="s">
        <v>330</v>
      </c>
      <c r="C29" s="29" t="s">
        <v>319</v>
      </c>
      <c r="D29" s="30" t="n">
        <v>109</v>
      </c>
      <c r="E29" s="30" t="n">
        <v>90.25</v>
      </c>
      <c r="F29" s="75" t="n">
        <f aca="false">D29/2145</f>
        <v>0.0508158508158508</v>
      </c>
      <c r="G29" s="76" t="n">
        <f aca="false">IF(D29&gt;0,E29/D29,0)</f>
        <v>0.827981651376147</v>
      </c>
      <c r="H29" s="1"/>
      <c r="I29" s="1"/>
      <c r="J29" s="1"/>
      <c r="K29" s="1"/>
      <c r="L29" s="1"/>
      <c r="M29" s="1"/>
      <c r="N29" s="1"/>
      <c r="O29" s="1"/>
      <c r="P29" s="1"/>
      <c r="Q29" s="1"/>
      <c r="R29" s="1"/>
      <c r="S29" s="1"/>
      <c r="T29" s="1"/>
      <c r="U29" s="1"/>
      <c r="V29" s="1"/>
      <c r="W29" s="1"/>
      <c r="X29" s="1"/>
      <c r="Y29" s="1"/>
      <c r="Z29" s="1"/>
    </row>
    <row r="30" customFormat="false" ht="15.75" hidden="false" customHeight="true" outlineLevel="0" collapsed="false">
      <c r="A30" s="23" t="n">
        <v>27</v>
      </c>
      <c r="B30" s="24" t="s">
        <v>345</v>
      </c>
      <c r="C30" s="24" t="s">
        <v>321</v>
      </c>
      <c r="D30" s="25" t="n">
        <v>6</v>
      </c>
      <c r="E30" s="25" t="n">
        <v>4.75</v>
      </c>
      <c r="F30" s="75" t="n">
        <f aca="false">D30/2145</f>
        <v>0.0027972027972028</v>
      </c>
      <c r="G30" s="76" t="n">
        <f aca="false">IF(D30&gt;0,E30/D30,0)</f>
        <v>0.791666666666667</v>
      </c>
      <c r="H30" s="1"/>
      <c r="I30" s="1"/>
      <c r="J30" s="1"/>
      <c r="K30" s="1"/>
      <c r="L30" s="1"/>
      <c r="M30" s="1"/>
      <c r="N30" s="1"/>
      <c r="O30" s="1"/>
      <c r="P30" s="1"/>
      <c r="Q30" s="1"/>
      <c r="R30" s="1"/>
      <c r="S30" s="1"/>
      <c r="T30" s="1"/>
      <c r="U30" s="1"/>
      <c r="V30" s="1"/>
      <c r="W30" s="1"/>
      <c r="X30" s="1"/>
      <c r="Y30" s="1"/>
      <c r="Z30" s="1"/>
    </row>
    <row r="31" customFormat="false" ht="15.75" hidden="false" customHeight="true" outlineLevel="0" collapsed="false">
      <c r="A31" s="28" t="n">
        <v>28</v>
      </c>
      <c r="B31" s="29" t="s">
        <v>367</v>
      </c>
      <c r="C31" s="29" t="s">
        <v>321</v>
      </c>
      <c r="D31" s="30" t="n">
        <v>74</v>
      </c>
      <c r="E31" s="30" t="n">
        <v>48.43</v>
      </c>
      <c r="F31" s="75" t="n">
        <f aca="false">D31/2145</f>
        <v>0.0344988344988345</v>
      </c>
      <c r="G31" s="76" t="n">
        <f aca="false">IF(D31&gt;0,E31/D31,0)</f>
        <v>0.65445945945946</v>
      </c>
      <c r="H31" s="1"/>
      <c r="I31" s="1"/>
      <c r="J31" s="1"/>
      <c r="K31" s="1"/>
      <c r="L31" s="1"/>
      <c r="M31" s="1"/>
      <c r="N31" s="1"/>
      <c r="O31" s="1"/>
      <c r="P31" s="1"/>
      <c r="Q31" s="1"/>
      <c r="R31" s="1"/>
      <c r="S31" s="1"/>
      <c r="T31" s="1"/>
      <c r="U31" s="1"/>
      <c r="V31" s="1"/>
      <c r="W31" s="1"/>
      <c r="X31" s="1"/>
      <c r="Y31" s="1"/>
      <c r="Z31" s="1"/>
    </row>
    <row r="32" customFormat="false" ht="15.75" hidden="false" customHeight="true" outlineLevel="0" collapsed="false">
      <c r="A32" s="23" t="n">
        <v>29</v>
      </c>
      <c r="B32" s="24" t="s">
        <v>328</v>
      </c>
      <c r="C32" s="24" t="s">
        <v>329</v>
      </c>
      <c r="D32" s="25" t="n">
        <v>110</v>
      </c>
      <c r="E32" s="25" t="n">
        <v>67.87</v>
      </c>
      <c r="F32" s="75" t="n">
        <f aca="false">D32/2145</f>
        <v>0.0512820512820513</v>
      </c>
      <c r="G32" s="76" t="n">
        <f aca="false">IF(D32&gt;0,E32/D32,0)</f>
        <v>0.617</v>
      </c>
      <c r="H32" s="1"/>
      <c r="I32" s="1"/>
      <c r="J32" s="1"/>
      <c r="K32" s="1"/>
      <c r="L32" s="1"/>
      <c r="M32" s="1"/>
      <c r="N32" s="1"/>
      <c r="O32" s="1"/>
      <c r="P32" s="1"/>
      <c r="Q32" s="1"/>
      <c r="R32" s="1"/>
      <c r="S32" s="1"/>
      <c r="T32" s="1"/>
      <c r="U32" s="1"/>
      <c r="V32" s="1"/>
      <c r="W32" s="1"/>
      <c r="X32" s="1"/>
      <c r="Y32" s="1"/>
      <c r="Z32" s="1"/>
    </row>
    <row r="33" customFormat="false" ht="15.75" hidden="false" customHeight="true" outlineLevel="0" collapsed="false">
      <c r="A33" s="28" t="n">
        <v>30</v>
      </c>
      <c r="B33" s="29" t="s">
        <v>344</v>
      </c>
      <c r="C33" s="29" t="s">
        <v>329</v>
      </c>
      <c r="D33" s="30" t="n">
        <v>6</v>
      </c>
      <c r="E33" s="30" t="n">
        <v>3.25</v>
      </c>
      <c r="F33" s="75" t="n">
        <f aca="false">D33/2145</f>
        <v>0.0027972027972028</v>
      </c>
      <c r="G33" s="76" t="n">
        <f aca="false">IF(D33&gt;0,E33/D33,0)</f>
        <v>0.541666666666667</v>
      </c>
      <c r="H33" s="1"/>
      <c r="I33" s="1"/>
      <c r="J33" s="1"/>
      <c r="K33" s="1"/>
      <c r="L33" s="1"/>
      <c r="M33" s="1"/>
      <c r="N33" s="1"/>
      <c r="O33" s="1"/>
      <c r="P33" s="1"/>
      <c r="Q33" s="1"/>
      <c r="R33" s="1"/>
      <c r="S33" s="1"/>
      <c r="T33" s="1"/>
      <c r="U33" s="1"/>
      <c r="V33" s="1"/>
      <c r="W33" s="1"/>
      <c r="X33" s="1"/>
      <c r="Y33" s="1"/>
      <c r="Z33" s="1"/>
    </row>
    <row r="34" customFormat="false" ht="15.75" hidden="false" customHeight="true" outlineLevel="0" collapsed="false">
      <c r="A34" s="23" t="n">
        <v>31</v>
      </c>
      <c r="B34" s="24" t="s">
        <v>368</v>
      </c>
      <c r="C34" s="24" t="s">
        <v>323</v>
      </c>
      <c r="D34" s="25" t="n">
        <v>85</v>
      </c>
      <c r="E34" s="25" t="n">
        <v>45.58</v>
      </c>
      <c r="F34" s="75" t="n">
        <f aca="false">D34/2145</f>
        <v>0.0396270396270396</v>
      </c>
      <c r="G34" s="76" t="n">
        <f aca="false">IF(D34&gt;0,E34/D34,0)</f>
        <v>0.536235294117647</v>
      </c>
      <c r="H34" s="1"/>
      <c r="I34" s="1"/>
      <c r="J34" s="1"/>
      <c r="K34" s="1"/>
      <c r="L34" s="1"/>
      <c r="M34" s="1"/>
      <c r="N34" s="1"/>
      <c r="O34" s="1"/>
      <c r="P34" s="1"/>
      <c r="Q34" s="1"/>
      <c r="R34" s="1"/>
      <c r="S34" s="1"/>
      <c r="T34" s="1"/>
      <c r="U34" s="1"/>
      <c r="V34" s="1"/>
      <c r="W34" s="1"/>
      <c r="X34" s="1"/>
      <c r="Y34" s="1"/>
      <c r="Z34" s="1"/>
    </row>
    <row r="35" customFormat="false" ht="15.75" hidden="false" customHeight="true" outlineLevel="0" collapsed="false">
      <c r="A35" s="28" t="n">
        <v>32</v>
      </c>
      <c r="B35" s="29" t="s">
        <v>369</v>
      </c>
      <c r="C35" s="29" t="s">
        <v>325</v>
      </c>
      <c r="D35" s="30" t="n">
        <v>99</v>
      </c>
      <c r="E35" s="30" t="n">
        <v>52.5</v>
      </c>
      <c r="F35" s="75" t="n">
        <f aca="false">D35/2145</f>
        <v>0.0461538461538462</v>
      </c>
      <c r="G35" s="76" t="n">
        <f aca="false">IF(D35&gt;0,E35/D35,0)</f>
        <v>0.53030303030303</v>
      </c>
      <c r="H35" s="1"/>
      <c r="I35" s="1"/>
      <c r="J35" s="1"/>
      <c r="K35" s="1"/>
      <c r="L35" s="1"/>
      <c r="M35" s="1"/>
      <c r="N35" s="1"/>
      <c r="O35" s="1"/>
      <c r="P35" s="1"/>
      <c r="Q35" s="1"/>
      <c r="R35" s="1"/>
      <c r="S35" s="1"/>
      <c r="T35" s="1"/>
      <c r="U35" s="1"/>
      <c r="V35" s="1"/>
      <c r="W35" s="1"/>
      <c r="X35" s="1"/>
      <c r="Y35" s="1"/>
      <c r="Z35" s="1"/>
    </row>
    <row r="36" customFormat="false" ht="15.75" hidden="false" customHeight="true" outlineLevel="0" collapsed="false">
      <c r="A36" s="23" t="n">
        <v>33</v>
      </c>
      <c r="B36" s="24" t="s">
        <v>350</v>
      </c>
      <c r="C36" s="24" t="s">
        <v>329</v>
      </c>
      <c r="D36" s="25" t="n">
        <v>12</v>
      </c>
      <c r="E36" s="25" t="n">
        <v>3.16</v>
      </c>
      <c r="F36" s="75" t="n">
        <f aca="false">D36/2145</f>
        <v>0.00559440559440559</v>
      </c>
      <c r="G36" s="76" t="n">
        <f aca="false">IF(D36&gt;0,E36/D36,0)</f>
        <v>0.263333333333333</v>
      </c>
      <c r="H36" s="1"/>
      <c r="I36" s="1"/>
      <c r="J36" s="1"/>
      <c r="K36" s="1"/>
      <c r="L36" s="1"/>
      <c r="M36" s="1"/>
      <c r="N36" s="1"/>
      <c r="O36" s="1"/>
      <c r="P36" s="1"/>
      <c r="Q36" s="1"/>
      <c r="R36" s="1"/>
      <c r="S36" s="1"/>
      <c r="T36" s="1"/>
      <c r="U36" s="1"/>
      <c r="V36" s="1"/>
      <c r="W36" s="1"/>
      <c r="X36" s="1"/>
      <c r="Y36" s="1"/>
      <c r="Z36" s="1"/>
    </row>
    <row r="37" customFormat="false" ht="15.75" hidden="false" customHeight="true" outlineLevel="0" collapsed="false">
      <c r="A37" s="28" t="n">
        <v>34</v>
      </c>
      <c r="B37" s="29" t="s">
        <v>370</v>
      </c>
      <c r="C37" s="29" t="s">
        <v>321</v>
      </c>
      <c r="D37" s="30" t="n">
        <v>16</v>
      </c>
      <c r="E37" s="30" t="n">
        <v>3.42</v>
      </c>
      <c r="F37" s="75" t="n">
        <f aca="false">D37/2145</f>
        <v>0.00745920745920746</v>
      </c>
      <c r="G37" s="76" t="n">
        <f aca="false">IF(D37&gt;0,E37/D37,0)</f>
        <v>0.21375</v>
      </c>
      <c r="H37" s="1"/>
      <c r="I37" s="1"/>
      <c r="J37" s="1"/>
      <c r="K37" s="1"/>
      <c r="L37" s="1"/>
      <c r="M37" s="1"/>
      <c r="N37" s="1"/>
      <c r="O37" s="1"/>
      <c r="P37" s="1"/>
      <c r="Q37" s="1"/>
      <c r="R37" s="1"/>
      <c r="S37" s="1"/>
      <c r="T37" s="1"/>
      <c r="U37" s="1"/>
      <c r="V37" s="1"/>
      <c r="W37" s="1"/>
      <c r="X37" s="1"/>
      <c r="Y37" s="1"/>
      <c r="Z37" s="1"/>
    </row>
    <row r="38" customFormat="false" ht="15.75" hidden="false" customHeight="true" outlineLevel="0" collapsed="false">
      <c r="A38" s="23" t="n">
        <v>35</v>
      </c>
      <c r="B38" s="24" t="s">
        <v>371</v>
      </c>
      <c r="C38" s="24" t="s">
        <v>325</v>
      </c>
      <c r="D38" s="25" t="n">
        <v>30</v>
      </c>
      <c r="E38" s="25" t="n">
        <v>2.75</v>
      </c>
      <c r="F38" s="75" t="n">
        <f aca="false">D38/2145</f>
        <v>0.013986013986014</v>
      </c>
      <c r="G38" s="76" t="n">
        <f aca="false">IF(D38&gt;0,E38/D38,0)</f>
        <v>0.0916666666666667</v>
      </c>
      <c r="H38" s="1"/>
      <c r="I38" s="1"/>
      <c r="J38" s="1"/>
      <c r="K38" s="1"/>
      <c r="L38" s="1"/>
      <c r="M38" s="1"/>
      <c r="N38" s="1"/>
      <c r="O38" s="1"/>
      <c r="P38" s="1"/>
      <c r="Q38" s="1"/>
      <c r="R38" s="1"/>
      <c r="S38" s="1"/>
      <c r="T38" s="1"/>
      <c r="U38" s="1"/>
      <c r="V38" s="1"/>
      <c r="W38" s="1"/>
      <c r="X38" s="1"/>
      <c r="Y38" s="1"/>
      <c r="Z38" s="1"/>
    </row>
    <row r="39" customFormat="false" ht="15.75" hidden="false" customHeight="true" outlineLevel="0" collapsed="false">
      <c r="A39" s="28" t="n">
        <v>36</v>
      </c>
      <c r="B39" s="29" t="s">
        <v>343</v>
      </c>
      <c r="C39" s="29" t="s">
        <v>329</v>
      </c>
      <c r="D39" s="30" t="n">
        <v>1</v>
      </c>
      <c r="E39" s="30" t="n">
        <v>0.08</v>
      </c>
      <c r="F39" s="75" t="n">
        <f aca="false">D39/2145</f>
        <v>0.000466200466200466</v>
      </c>
      <c r="G39" s="76" t="n">
        <f aca="false">IF(D39&gt;0,E39/D39,0)</f>
        <v>0.08</v>
      </c>
      <c r="H39" s="1"/>
      <c r="I39" s="1"/>
      <c r="J39" s="1"/>
      <c r="K39" s="1"/>
      <c r="L39" s="1"/>
      <c r="M39" s="1"/>
      <c r="N39" s="1"/>
      <c r="O39" s="1"/>
      <c r="P39" s="1"/>
      <c r="Q39" s="1"/>
      <c r="R39" s="1"/>
      <c r="S39" s="1"/>
      <c r="T39" s="1"/>
      <c r="U39" s="1"/>
      <c r="V39" s="1"/>
      <c r="W39" s="1"/>
      <c r="X39" s="1"/>
      <c r="Y39" s="1"/>
      <c r="Z39" s="1"/>
    </row>
    <row r="40" customFormat="false" ht="15.75" hidden="false" customHeight="true" outlineLevel="0" collapsed="false">
      <c r="B40" s="61" t="s">
        <v>158</v>
      </c>
      <c r="D40" s="61" t="n">
        <v>2145</v>
      </c>
      <c r="E40" s="61" t="n">
        <v>3262.07</v>
      </c>
      <c r="H40" s="1"/>
      <c r="I40" s="1"/>
      <c r="J40" s="1"/>
      <c r="K40" s="1"/>
      <c r="L40" s="1"/>
      <c r="M40" s="1"/>
      <c r="N40" s="1"/>
      <c r="O40" s="1"/>
      <c r="P40" s="1"/>
      <c r="Q40" s="1"/>
      <c r="R40" s="1"/>
      <c r="S40" s="1"/>
      <c r="T40" s="1"/>
      <c r="U40" s="1"/>
      <c r="V40" s="1"/>
      <c r="W40" s="1"/>
      <c r="X40" s="1"/>
      <c r="Y40" s="1"/>
      <c r="Z40" s="1"/>
    </row>
    <row r="41" customFormat="false" ht="15.75" hidden="false" customHeight="true" outlineLevel="0" collapsed="false">
      <c r="H41" s="1"/>
      <c r="I41" s="1"/>
      <c r="J41" s="1"/>
      <c r="K41" s="1"/>
      <c r="L41" s="1"/>
      <c r="M41" s="1"/>
      <c r="N41" s="1"/>
      <c r="O41" s="1"/>
      <c r="P41" s="1"/>
      <c r="Q41" s="1"/>
      <c r="R41" s="1"/>
      <c r="S41" s="1"/>
      <c r="T41" s="1"/>
      <c r="U41" s="1"/>
      <c r="V41" s="1"/>
      <c r="W41" s="1"/>
      <c r="X41" s="1"/>
      <c r="Y41" s="1"/>
      <c r="Z41" s="1"/>
    </row>
    <row r="42" customFormat="false" ht="15.75" hidden="false" customHeight="true" outlineLevel="0" collapsed="false">
      <c r="A42" s="45" t="s">
        <v>159</v>
      </c>
      <c r="B42" s="45"/>
      <c r="C42" s="45"/>
      <c r="D42" s="45"/>
      <c r="E42" s="45"/>
      <c r="F42" s="45"/>
      <c r="G42" s="45"/>
      <c r="H42" s="1"/>
      <c r="I42" s="1"/>
      <c r="J42" s="1"/>
      <c r="K42" s="1"/>
      <c r="L42" s="1"/>
      <c r="M42" s="1"/>
      <c r="N42" s="1"/>
      <c r="O42" s="1"/>
      <c r="P42" s="1"/>
      <c r="Q42" s="1"/>
      <c r="R42" s="1"/>
      <c r="S42" s="1"/>
      <c r="T42" s="1"/>
      <c r="U42" s="1"/>
      <c r="V42" s="1"/>
      <c r="W42" s="1"/>
      <c r="X42" s="1"/>
      <c r="Y42" s="1"/>
      <c r="Z42" s="1"/>
    </row>
    <row r="43" customFormat="false" ht="15.75" hidden="false" customHeight="true" outlineLevel="0" collapsed="false">
      <c r="A43" s="66" t="s">
        <v>333</v>
      </c>
      <c r="B43" s="66"/>
      <c r="C43" s="66"/>
      <c r="D43" s="66"/>
      <c r="E43" s="66"/>
      <c r="F43" s="66"/>
      <c r="G43" s="66"/>
      <c r="H43" s="1"/>
      <c r="I43" s="1"/>
      <c r="J43" s="1"/>
      <c r="K43" s="1"/>
      <c r="L43" s="1"/>
      <c r="M43" s="1"/>
      <c r="N43" s="1"/>
      <c r="O43" s="1"/>
      <c r="P43" s="1"/>
      <c r="Q43" s="1"/>
      <c r="R43" s="1"/>
      <c r="S43" s="1"/>
      <c r="T43" s="1"/>
      <c r="U43" s="1"/>
      <c r="V43" s="1"/>
      <c r="W43" s="1"/>
      <c r="X43" s="1"/>
      <c r="Y43" s="1"/>
      <c r="Z43" s="1"/>
    </row>
    <row r="44" customFormat="false" ht="15.75" hidden="false" customHeight="true" outlineLevel="0" collapsed="false">
      <c r="A44" s="46" t="s">
        <v>372</v>
      </c>
      <c r="B44" s="46"/>
      <c r="C44" s="46"/>
      <c r="D44" s="46"/>
      <c r="E44" s="46"/>
      <c r="F44" s="46"/>
      <c r="G44" s="46"/>
      <c r="H44" s="1"/>
      <c r="I44" s="1"/>
      <c r="J44" s="1"/>
      <c r="K44" s="1"/>
      <c r="L44" s="1"/>
      <c r="M44" s="1"/>
      <c r="N44" s="1"/>
      <c r="O44" s="1"/>
      <c r="P44" s="1"/>
      <c r="Q44" s="1"/>
      <c r="R44" s="1"/>
      <c r="S44" s="1"/>
      <c r="T44" s="1"/>
      <c r="U44" s="1"/>
      <c r="V44" s="1"/>
      <c r="W44" s="1"/>
      <c r="X44" s="1"/>
      <c r="Y44" s="1"/>
      <c r="Z44" s="1"/>
    </row>
    <row r="45" customFormat="false" ht="15.75" hidden="false" customHeight="true" outlineLevel="0" collapsed="false">
      <c r="A45" s="46" t="s">
        <v>335</v>
      </c>
      <c r="B45" s="46"/>
      <c r="C45" s="46"/>
      <c r="D45" s="46"/>
      <c r="E45" s="46"/>
      <c r="F45" s="46"/>
      <c r="G45" s="46"/>
      <c r="H45" s="1"/>
      <c r="I45" s="1"/>
      <c r="J45" s="1"/>
      <c r="K45" s="1"/>
      <c r="L45" s="1"/>
      <c r="M45" s="1"/>
      <c r="N45" s="1"/>
      <c r="O45" s="1"/>
      <c r="P45" s="1"/>
      <c r="Q45" s="1"/>
      <c r="R45" s="1"/>
      <c r="S45" s="1"/>
      <c r="T45" s="1"/>
      <c r="U45" s="1"/>
      <c r="V45" s="1"/>
      <c r="W45" s="1"/>
      <c r="X45" s="1"/>
      <c r="Y45" s="1"/>
      <c r="Z45" s="1"/>
    </row>
    <row r="46" customFormat="false" ht="15.75" hidden="false" customHeight="true" outlineLevel="0" collapsed="false">
      <c r="A46" s="46" t="s">
        <v>336</v>
      </c>
      <c r="B46" s="46"/>
      <c r="C46" s="46"/>
      <c r="D46" s="46"/>
      <c r="E46" s="46"/>
      <c r="F46" s="46"/>
      <c r="G46" s="46"/>
      <c r="H46" s="1"/>
      <c r="I46" s="1"/>
      <c r="J46" s="1"/>
      <c r="K46" s="1"/>
      <c r="L46" s="1"/>
      <c r="M46" s="1"/>
      <c r="N46" s="1"/>
      <c r="O46" s="1"/>
      <c r="P46" s="1"/>
      <c r="Q46" s="1"/>
      <c r="R46" s="1"/>
      <c r="S46" s="1"/>
      <c r="T46" s="1"/>
      <c r="U46" s="1"/>
      <c r="V46" s="1"/>
      <c r="W46" s="1"/>
      <c r="X46" s="1"/>
      <c r="Y46" s="1"/>
      <c r="Z46" s="1"/>
    </row>
    <row r="47" customFormat="false" ht="15.75" hidden="false" customHeight="true" outlineLevel="0" collapsed="false">
      <c r="A47" s="46" t="s">
        <v>373</v>
      </c>
      <c r="B47" s="46"/>
      <c r="C47" s="46"/>
      <c r="D47" s="46"/>
      <c r="E47" s="46"/>
      <c r="F47" s="46"/>
      <c r="G47" s="46"/>
      <c r="H47" s="1"/>
      <c r="I47" s="1"/>
      <c r="J47" s="1"/>
      <c r="K47" s="1"/>
      <c r="L47" s="1"/>
      <c r="M47" s="1"/>
      <c r="N47" s="1"/>
      <c r="O47" s="1"/>
      <c r="P47" s="1"/>
      <c r="Q47" s="1"/>
      <c r="R47" s="1"/>
      <c r="S47" s="1"/>
      <c r="T47" s="1"/>
      <c r="U47" s="1"/>
      <c r="V47" s="1"/>
      <c r="W47" s="1"/>
      <c r="X47" s="1"/>
      <c r="Y47" s="1"/>
      <c r="Z47" s="1"/>
    </row>
    <row r="48" customFormat="false" ht="15.75" hidden="false" customHeight="true" outlineLevel="0" collapsed="false">
      <c r="A48" s="46" t="s">
        <v>374</v>
      </c>
      <c r="B48" s="46"/>
      <c r="C48" s="46"/>
      <c r="D48" s="46"/>
      <c r="E48" s="46"/>
      <c r="F48" s="46"/>
      <c r="G48" s="46"/>
      <c r="H48" s="1"/>
      <c r="I48" s="1"/>
      <c r="J48" s="1"/>
      <c r="K48" s="1"/>
      <c r="L48" s="1"/>
      <c r="M48" s="1"/>
      <c r="N48" s="1"/>
      <c r="O48" s="1"/>
      <c r="P48" s="1"/>
      <c r="Q48" s="1"/>
      <c r="R48" s="1"/>
      <c r="S48" s="1"/>
      <c r="T48" s="1"/>
      <c r="U48" s="1"/>
      <c r="V48" s="1"/>
      <c r="W48" s="1"/>
      <c r="X48" s="1"/>
      <c r="Y48" s="1"/>
      <c r="Z48" s="1"/>
    </row>
    <row r="49" customFormat="false" ht="15.75" hidden="false" customHeight="true" outlineLevel="0" collapsed="false">
      <c r="A49" s="46" t="s">
        <v>375</v>
      </c>
      <c r="B49" s="46"/>
      <c r="C49" s="46"/>
      <c r="D49" s="46"/>
      <c r="E49" s="46"/>
      <c r="F49" s="46"/>
      <c r="G49" s="46"/>
      <c r="H49" s="1"/>
      <c r="I49" s="1"/>
      <c r="J49" s="1"/>
      <c r="K49" s="1"/>
      <c r="L49" s="1"/>
      <c r="M49" s="1"/>
      <c r="N49" s="1"/>
      <c r="O49" s="1"/>
      <c r="P49" s="1"/>
      <c r="Q49" s="1"/>
      <c r="R49" s="1"/>
      <c r="S49" s="1"/>
      <c r="T49" s="1"/>
      <c r="U49" s="1"/>
      <c r="V49" s="1"/>
      <c r="W49" s="1"/>
      <c r="X49" s="1"/>
      <c r="Y49" s="1"/>
      <c r="Z49" s="1"/>
    </row>
    <row r="50" customFormat="false" ht="15.75" hidden="false" customHeight="true" outlineLevel="0" collapsed="false">
      <c r="A50" s="72" t="s">
        <v>376</v>
      </c>
      <c r="H50" s="1"/>
      <c r="I50" s="1"/>
      <c r="J50" s="1"/>
      <c r="K50" s="1"/>
      <c r="L50" s="1"/>
      <c r="M50" s="1"/>
      <c r="N50" s="1"/>
      <c r="O50" s="1"/>
      <c r="P50" s="1"/>
      <c r="Q50" s="1"/>
      <c r="R50" s="1"/>
      <c r="S50" s="1"/>
      <c r="T50" s="1"/>
      <c r="U50" s="1"/>
      <c r="V50" s="1"/>
      <c r="W50" s="1"/>
      <c r="X50" s="1"/>
      <c r="Y50" s="1"/>
      <c r="Z50" s="1"/>
    </row>
    <row r="51" customFormat="false" ht="15.75" hidden="false" customHeight="true" outlineLevel="0" collapsed="false">
      <c r="H51" s="1"/>
      <c r="I51" s="1"/>
      <c r="J51" s="1"/>
      <c r="K51" s="1"/>
      <c r="L51" s="1"/>
      <c r="M51" s="1"/>
      <c r="N51" s="1"/>
      <c r="O51" s="1"/>
      <c r="P51" s="1"/>
      <c r="Q51" s="1"/>
      <c r="R51" s="1"/>
      <c r="S51" s="1"/>
      <c r="T51" s="1"/>
      <c r="U51" s="1"/>
      <c r="V51" s="1"/>
      <c r="W51" s="1"/>
      <c r="X51" s="1"/>
      <c r="Y51" s="1"/>
      <c r="Z51" s="1"/>
    </row>
    <row r="52" customFormat="false" ht="15.75" hidden="false" customHeight="true" outlineLevel="0" collapsed="false">
      <c r="H52" s="1"/>
      <c r="I52" s="1"/>
      <c r="J52" s="1"/>
      <c r="K52" s="1"/>
      <c r="L52" s="1"/>
      <c r="M52" s="1"/>
      <c r="N52" s="1"/>
      <c r="O52" s="1"/>
      <c r="P52" s="1"/>
      <c r="Q52" s="1"/>
      <c r="R52" s="1"/>
      <c r="S52" s="1"/>
      <c r="T52" s="1"/>
      <c r="U52" s="1"/>
      <c r="V52" s="1"/>
      <c r="W52" s="1"/>
      <c r="X52" s="1"/>
      <c r="Y52" s="1"/>
      <c r="Z52" s="1"/>
    </row>
    <row r="53" customFormat="false" ht="15.75" hidden="false" customHeight="true" outlineLevel="0" collapsed="false">
      <c r="H53" s="1"/>
      <c r="I53" s="1"/>
      <c r="J53" s="1"/>
      <c r="K53" s="1"/>
      <c r="L53" s="1"/>
      <c r="M53" s="1"/>
      <c r="N53" s="1"/>
      <c r="O53" s="1"/>
      <c r="P53" s="1"/>
      <c r="Q53" s="1"/>
      <c r="R53" s="1"/>
      <c r="S53" s="1"/>
      <c r="T53" s="1"/>
      <c r="U53" s="1"/>
      <c r="V53" s="1"/>
      <c r="W53" s="1"/>
      <c r="X53" s="1"/>
      <c r="Y53" s="1"/>
      <c r="Z53" s="1"/>
    </row>
    <row r="54" customFormat="false" ht="15.75" hidden="false" customHeight="true" outlineLevel="0" collapsed="false">
      <c r="H54" s="1"/>
      <c r="I54" s="1"/>
      <c r="J54" s="1"/>
      <c r="K54" s="1"/>
      <c r="L54" s="1"/>
      <c r="M54" s="1"/>
      <c r="N54" s="1"/>
      <c r="O54" s="1"/>
      <c r="P54" s="1"/>
      <c r="Q54" s="1"/>
      <c r="R54" s="1"/>
      <c r="S54" s="1"/>
      <c r="T54" s="1"/>
      <c r="U54" s="1"/>
      <c r="V54" s="1"/>
      <c r="W54" s="1"/>
      <c r="X54" s="1"/>
      <c r="Y54" s="1"/>
      <c r="Z54" s="1"/>
    </row>
    <row r="55" customFormat="false" ht="15.75" hidden="false" customHeight="true" outlineLevel="0" collapsed="false">
      <c r="H55" s="1"/>
      <c r="I55" s="1"/>
      <c r="J55" s="1"/>
      <c r="K55" s="1"/>
      <c r="L55" s="1"/>
      <c r="M55" s="1"/>
      <c r="N55" s="1"/>
      <c r="O55" s="1"/>
      <c r="P55" s="1"/>
      <c r="Q55" s="1"/>
      <c r="R55" s="1"/>
      <c r="S55" s="1"/>
      <c r="T55" s="1"/>
      <c r="U55" s="1"/>
      <c r="V55" s="1"/>
      <c r="W55" s="1"/>
      <c r="X55" s="1"/>
      <c r="Y55" s="1"/>
      <c r="Z55" s="1"/>
    </row>
    <row r="56" customFormat="false" ht="15.75" hidden="false" customHeight="true" outlineLevel="0" collapsed="false">
      <c r="H56" s="1"/>
      <c r="I56" s="1"/>
      <c r="J56" s="1"/>
      <c r="K56" s="1"/>
      <c r="L56" s="1"/>
      <c r="M56" s="1"/>
      <c r="N56" s="1"/>
      <c r="O56" s="1"/>
      <c r="P56" s="1"/>
      <c r="Q56" s="1"/>
      <c r="R56" s="1"/>
      <c r="S56" s="1"/>
      <c r="T56" s="1"/>
      <c r="U56" s="1"/>
      <c r="V56" s="1"/>
      <c r="W56" s="1"/>
      <c r="X56" s="1"/>
      <c r="Y56" s="1"/>
      <c r="Z56" s="1"/>
    </row>
    <row r="57" customFormat="false" ht="15.75" hidden="false" customHeight="true" outlineLevel="0" collapsed="false">
      <c r="H57" s="1"/>
      <c r="I57" s="1"/>
      <c r="J57" s="1"/>
      <c r="K57" s="1"/>
      <c r="L57" s="1"/>
      <c r="M57" s="1"/>
      <c r="N57" s="1"/>
      <c r="O57" s="1"/>
      <c r="P57" s="1"/>
      <c r="Q57" s="1"/>
      <c r="R57" s="1"/>
      <c r="S57" s="1"/>
      <c r="T57" s="1"/>
      <c r="U57" s="1"/>
      <c r="V57" s="1"/>
      <c r="W57" s="1"/>
      <c r="X57" s="1"/>
      <c r="Y57" s="1"/>
      <c r="Z57" s="1"/>
    </row>
    <row r="58" customFormat="false" ht="15.75" hidden="false" customHeight="true" outlineLevel="0" collapsed="false">
      <c r="H58" s="1"/>
      <c r="I58" s="1"/>
      <c r="J58" s="1"/>
      <c r="K58" s="1"/>
      <c r="L58" s="1"/>
      <c r="M58" s="1"/>
      <c r="N58" s="1"/>
      <c r="O58" s="1"/>
      <c r="P58" s="1"/>
      <c r="Q58" s="1"/>
      <c r="R58" s="1"/>
      <c r="S58" s="1"/>
      <c r="T58" s="1"/>
      <c r="U58" s="1"/>
      <c r="V58" s="1"/>
      <c r="W58" s="1"/>
      <c r="X58" s="1"/>
      <c r="Y58" s="1"/>
      <c r="Z58" s="1"/>
    </row>
    <row r="59" customFormat="false" ht="15.75" hidden="false" customHeight="true" outlineLevel="0" collapsed="false">
      <c r="H59" s="1"/>
      <c r="I59" s="1"/>
      <c r="J59" s="1"/>
      <c r="K59" s="1"/>
      <c r="L59" s="1"/>
      <c r="M59" s="1"/>
      <c r="N59" s="1"/>
      <c r="O59" s="1"/>
      <c r="P59" s="1"/>
      <c r="Q59" s="1"/>
      <c r="R59" s="1"/>
      <c r="S59" s="1"/>
      <c r="T59" s="1"/>
      <c r="U59" s="1"/>
      <c r="V59" s="1"/>
      <c r="W59" s="1"/>
      <c r="X59" s="1"/>
      <c r="Y59" s="1"/>
      <c r="Z59" s="1"/>
    </row>
    <row r="60" customFormat="false" ht="15.75" hidden="false" customHeight="true" outlineLevel="0" collapsed="false">
      <c r="H60" s="1"/>
      <c r="I60" s="1"/>
      <c r="J60" s="1"/>
      <c r="K60" s="1"/>
      <c r="L60" s="1"/>
      <c r="M60" s="1"/>
      <c r="N60" s="1"/>
      <c r="O60" s="1"/>
      <c r="P60" s="1"/>
      <c r="Q60" s="1"/>
      <c r="R60" s="1"/>
      <c r="S60" s="1"/>
      <c r="T60" s="1"/>
      <c r="U60" s="1"/>
      <c r="V60" s="1"/>
      <c r="W60" s="1"/>
      <c r="X60" s="1"/>
      <c r="Y60" s="1"/>
      <c r="Z60" s="1"/>
    </row>
    <row r="61" customFormat="false" ht="15.75" hidden="false" customHeight="true" outlineLevel="0" collapsed="false">
      <c r="H61" s="1"/>
      <c r="I61" s="1"/>
      <c r="J61" s="1"/>
      <c r="K61" s="1"/>
      <c r="L61" s="1"/>
      <c r="M61" s="1"/>
      <c r="N61" s="1"/>
      <c r="O61" s="1"/>
      <c r="P61" s="1"/>
      <c r="Q61" s="1"/>
      <c r="R61" s="1"/>
      <c r="S61" s="1"/>
      <c r="T61" s="1"/>
      <c r="U61" s="1"/>
      <c r="V61" s="1"/>
      <c r="W61" s="1"/>
      <c r="X61" s="1"/>
      <c r="Y61" s="1"/>
      <c r="Z61" s="1"/>
    </row>
    <row r="62" customFormat="false" ht="15.75" hidden="false" customHeight="true" outlineLevel="0" collapsed="false">
      <c r="H62" s="1"/>
      <c r="I62" s="1"/>
      <c r="J62" s="1"/>
      <c r="K62" s="1"/>
      <c r="L62" s="1"/>
      <c r="M62" s="1"/>
      <c r="N62" s="1"/>
      <c r="O62" s="1"/>
      <c r="P62" s="1"/>
      <c r="Q62" s="1"/>
      <c r="R62" s="1"/>
      <c r="S62" s="1"/>
      <c r="T62" s="1"/>
      <c r="U62" s="1"/>
      <c r="V62" s="1"/>
      <c r="W62" s="1"/>
      <c r="X62" s="1"/>
      <c r="Y62" s="1"/>
      <c r="Z62" s="1"/>
    </row>
    <row r="63" customFormat="false" ht="15.75" hidden="false" customHeight="true" outlineLevel="0" collapsed="false">
      <c r="H63" s="1"/>
      <c r="I63" s="1"/>
      <c r="J63" s="1"/>
      <c r="K63" s="1"/>
      <c r="L63" s="1"/>
      <c r="M63" s="1"/>
      <c r="N63" s="1"/>
      <c r="O63" s="1"/>
      <c r="P63" s="1"/>
      <c r="Q63" s="1"/>
      <c r="R63" s="1"/>
      <c r="S63" s="1"/>
      <c r="T63" s="1"/>
      <c r="U63" s="1"/>
      <c r="V63" s="1"/>
      <c r="W63" s="1"/>
      <c r="X63" s="1"/>
      <c r="Y63" s="1"/>
      <c r="Z63" s="1"/>
    </row>
    <row r="64" customFormat="false" ht="15.75" hidden="false" customHeight="true" outlineLevel="0" collapsed="false">
      <c r="H64" s="1"/>
      <c r="I64" s="1"/>
      <c r="J64" s="1"/>
      <c r="K64" s="1"/>
      <c r="L64" s="1"/>
      <c r="M64" s="1"/>
      <c r="N64" s="1"/>
      <c r="O64" s="1"/>
      <c r="P64" s="1"/>
      <c r="Q64" s="1"/>
      <c r="R64" s="1"/>
      <c r="S64" s="1"/>
      <c r="T64" s="1"/>
      <c r="U64" s="1"/>
      <c r="V64" s="1"/>
      <c r="W64" s="1"/>
      <c r="X64" s="1"/>
      <c r="Y64" s="1"/>
      <c r="Z64" s="1"/>
    </row>
    <row r="65" customFormat="false" ht="15.75" hidden="false" customHeight="true" outlineLevel="0" collapsed="false">
      <c r="H65" s="1"/>
      <c r="I65" s="1"/>
      <c r="J65" s="1"/>
      <c r="K65" s="1"/>
      <c r="L65" s="1"/>
      <c r="M65" s="1"/>
      <c r="N65" s="1"/>
      <c r="O65" s="1"/>
      <c r="P65" s="1"/>
      <c r="Q65" s="1"/>
      <c r="R65" s="1"/>
      <c r="S65" s="1"/>
      <c r="T65" s="1"/>
      <c r="U65" s="1"/>
      <c r="V65" s="1"/>
      <c r="W65" s="1"/>
      <c r="X65" s="1"/>
      <c r="Y65" s="1"/>
      <c r="Z65" s="1"/>
    </row>
    <row r="66" customFormat="false" ht="15.75" hidden="false" customHeight="true" outlineLevel="0" collapsed="false">
      <c r="H66" s="1"/>
      <c r="I66" s="1"/>
      <c r="J66" s="1"/>
      <c r="K66" s="1"/>
      <c r="L66" s="1"/>
      <c r="M66" s="1"/>
      <c r="N66" s="1"/>
      <c r="O66" s="1"/>
      <c r="P66" s="1"/>
      <c r="Q66" s="1"/>
      <c r="R66" s="1"/>
      <c r="S66" s="1"/>
      <c r="T66" s="1"/>
      <c r="U66" s="1"/>
      <c r="V66" s="1"/>
      <c r="W66" s="1"/>
      <c r="X66" s="1"/>
      <c r="Y66" s="1"/>
      <c r="Z66" s="1"/>
    </row>
    <row r="67" customFormat="false" ht="15.75" hidden="false" customHeight="true" outlineLevel="0" collapsed="false">
      <c r="H67" s="1"/>
      <c r="I67" s="1"/>
      <c r="J67" s="1"/>
      <c r="K67" s="1"/>
      <c r="L67" s="1"/>
      <c r="M67" s="1"/>
      <c r="N67" s="1"/>
      <c r="O67" s="1"/>
      <c r="P67" s="1"/>
      <c r="Q67" s="1"/>
      <c r="R67" s="1"/>
      <c r="S67" s="1"/>
      <c r="T67" s="1"/>
      <c r="U67" s="1"/>
      <c r="V67" s="1"/>
      <c r="W67" s="1"/>
      <c r="X67" s="1"/>
      <c r="Y67" s="1"/>
      <c r="Z67" s="1"/>
    </row>
    <row r="68" customFormat="false" ht="15.75" hidden="false" customHeight="true" outlineLevel="0" collapsed="false">
      <c r="H68" s="1"/>
      <c r="I68" s="1"/>
      <c r="J68" s="1"/>
      <c r="K68" s="1"/>
      <c r="L68" s="1"/>
      <c r="M68" s="1"/>
      <c r="N68" s="1"/>
      <c r="O68" s="1"/>
      <c r="P68" s="1"/>
      <c r="Q68" s="1"/>
      <c r="R68" s="1"/>
      <c r="S68" s="1"/>
      <c r="T68" s="1"/>
      <c r="U68" s="1"/>
      <c r="V68" s="1"/>
      <c r="W68" s="1"/>
      <c r="X68" s="1"/>
      <c r="Y68" s="1"/>
      <c r="Z68" s="1"/>
    </row>
    <row r="69" customFormat="false" ht="15.75" hidden="false" customHeight="true" outlineLevel="0" collapsed="false">
      <c r="H69" s="1"/>
      <c r="I69" s="1"/>
      <c r="J69" s="1"/>
      <c r="K69" s="1"/>
      <c r="L69" s="1"/>
      <c r="M69" s="1"/>
      <c r="N69" s="1"/>
      <c r="O69" s="1"/>
      <c r="P69" s="1"/>
      <c r="Q69" s="1"/>
      <c r="R69" s="1"/>
      <c r="S69" s="1"/>
      <c r="T69" s="1"/>
      <c r="U69" s="1"/>
      <c r="V69" s="1"/>
      <c r="W69" s="1"/>
      <c r="X69" s="1"/>
      <c r="Y69" s="1"/>
      <c r="Z69" s="1"/>
    </row>
    <row r="70" customFormat="false" ht="15.75" hidden="false" customHeight="true" outlineLevel="0" collapsed="false">
      <c r="H70" s="1"/>
      <c r="I70" s="1"/>
      <c r="J70" s="1"/>
      <c r="K70" s="1"/>
      <c r="L70" s="1"/>
      <c r="M70" s="1"/>
      <c r="N70" s="1"/>
      <c r="O70" s="1"/>
      <c r="P70" s="1"/>
      <c r="Q70" s="1"/>
      <c r="R70" s="1"/>
      <c r="S70" s="1"/>
      <c r="T70" s="1"/>
      <c r="U70" s="1"/>
      <c r="V70" s="1"/>
      <c r="W70" s="1"/>
      <c r="X70" s="1"/>
      <c r="Y70" s="1"/>
      <c r="Z70" s="1"/>
    </row>
    <row r="71" customFormat="false" ht="15.75" hidden="false" customHeight="true" outlineLevel="0" collapsed="false">
      <c r="H71" s="1"/>
      <c r="I71" s="1"/>
      <c r="J71" s="1"/>
      <c r="K71" s="1"/>
      <c r="L71" s="1"/>
      <c r="M71" s="1"/>
      <c r="N71" s="1"/>
      <c r="O71" s="1"/>
      <c r="P71" s="1"/>
      <c r="Q71" s="1"/>
      <c r="R71" s="1"/>
      <c r="S71" s="1"/>
      <c r="T71" s="1"/>
      <c r="U71" s="1"/>
      <c r="V71" s="1"/>
      <c r="W71" s="1"/>
      <c r="X71" s="1"/>
      <c r="Y71" s="1"/>
      <c r="Z71" s="1"/>
    </row>
    <row r="72" customFormat="false" ht="15.75" hidden="false" customHeight="true" outlineLevel="0" collapsed="false">
      <c r="H72" s="1"/>
      <c r="I72" s="1"/>
      <c r="J72" s="1"/>
      <c r="K72" s="1"/>
      <c r="L72" s="1"/>
      <c r="M72" s="1"/>
      <c r="N72" s="1"/>
      <c r="O72" s="1"/>
      <c r="P72" s="1"/>
      <c r="Q72" s="1"/>
      <c r="R72" s="1"/>
      <c r="S72" s="1"/>
      <c r="T72" s="1"/>
      <c r="U72" s="1"/>
      <c r="V72" s="1"/>
      <c r="W72" s="1"/>
      <c r="X72" s="1"/>
      <c r="Y72" s="1"/>
      <c r="Z72" s="1"/>
    </row>
    <row r="73" customFormat="false" ht="15.75" hidden="false" customHeight="true" outlineLevel="0" collapsed="false">
      <c r="H73" s="1"/>
      <c r="I73" s="1"/>
      <c r="J73" s="1"/>
      <c r="K73" s="1"/>
      <c r="L73" s="1"/>
      <c r="M73" s="1"/>
      <c r="N73" s="1"/>
      <c r="O73" s="1"/>
      <c r="P73" s="1"/>
      <c r="Q73" s="1"/>
      <c r="R73" s="1"/>
      <c r="S73" s="1"/>
      <c r="T73" s="1"/>
      <c r="U73" s="1"/>
      <c r="V73" s="1"/>
      <c r="W73" s="1"/>
      <c r="X73" s="1"/>
      <c r="Y73" s="1"/>
      <c r="Z73" s="1"/>
    </row>
    <row r="74" customFormat="false" ht="15.75" hidden="false" customHeight="true" outlineLevel="0" collapsed="false">
      <c r="H74" s="1"/>
      <c r="I74" s="1"/>
      <c r="J74" s="1"/>
      <c r="K74" s="1"/>
      <c r="L74" s="1"/>
      <c r="M74" s="1"/>
      <c r="N74" s="1"/>
      <c r="O74" s="1"/>
      <c r="P74" s="1"/>
      <c r="Q74" s="1"/>
      <c r="R74" s="1"/>
      <c r="S74" s="1"/>
      <c r="T74" s="1"/>
      <c r="U74" s="1"/>
      <c r="V74" s="1"/>
      <c r="W74" s="1"/>
      <c r="X74" s="1"/>
      <c r="Y74" s="1"/>
      <c r="Z74" s="1"/>
    </row>
    <row r="75" customFormat="false" ht="15.75" hidden="false" customHeight="true" outlineLevel="0" collapsed="false">
      <c r="H75" s="1"/>
      <c r="I75" s="1"/>
      <c r="J75" s="1"/>
      <c r="K75" s="1"/>
      <c r="L75" s="1"/>
      <c r="M75" s="1"/>
      <c r="N75" s="1"/>
      <c r="O75" s="1"/>
      <c r="P75" s="1"/>
      <c r="Q75" s="1"/>
      <c r="R75" s="1"/>
      <c r="S75" s="1"/>
      <c r="T75" s="1"/>
      <c r="U75" s="1"/>
      <c r="V75" s="1"/>
      <c r="W75" s="1"/>
      <c r="X75" s="1"/>
      <c r="Y75" s="1"/>
      <c r="Z75" s="1"/>
    </row>
    <row r="76" customFormat="false" ht="15.75" hidden="false" customHeight="true" outlineLevel="0" collapsed="false">
      <c r="H76" s="1"/>
      <c r="I76" s="1"/>
      <c r="J76" s="1"/>
      <c r="K76" s="1"/>
      <c r="L76" s="1"/>
      <c r="M76" s="1"/>
      <c r="N76" s="1"/>
      <c r="O76" s="1"/>
      <c r="P76" s="1"/>
      <c r="Q76" s="1"/>
      <c r="R76" s="1"/>
      <c r="S76" s="1"/>
      <c r="T76" s="1"/>
      <c r="U76" s="1"/>
      <c r="V76" s="1"/>
      <c r="W76" s="1"/>
      <c r="X76" s="1"/>
      <c r="Y76" s="1"/>
      <c r="Z76" s="1"/>
    </row>
    <row r="77" customFormat="false" ht="15.75" hidden="false" customHeight="true" outlineLevel="0" collapsed="false">
      <c r="H77" s="1"/>
      <c r="I77" s="1"/>
      <c r="J77" s="1"/>
      <c r="K77" s="1"/>
      <c r="L77" s="1"/>
      <c r="M77" s="1"/>
      <c r="N77" s="1"/>
      <c r="O77" s="1"/>
      <c r="P77" s="1"/>
      <c r="Q77" s="1"/>
      <c r="R77" s="1"/>
      <c r="S77" s="1"/>
      <c r="T77" s="1"/>
      <c r="U77" s="1"/>
      <c r="V77" s="1"/>
      <c r="W77" s="1"/>
      <c r="X77" s="1"/>
      <c r="Y77" s="1"/>
      <c r="Z77" s="1"/>
    </row>
    <row r="78" customFormat="false" ht="15.75" hidden="false" customHeight="true" outlineLevel="0" collapsed="false">
      <c r="H78" s="1"/>
      <c r="I78" s="1"/>
      <c r="J78" s="1"/>
      <c r="K78" s="1"/>
      <c r="L78" s="1"/>
      <c r="M78" s="1"/>
      <c r="N78" s="1"/>
      <c r="O78" s="1"/>
      <c r="P78" s="1"/>
      <c r="Q78" s="1"/>
      <c r="R78" s="1"/>
      <c r="S78" s="1"/>
      <c r="T78" s="1"/>
      <c r="U78" s="1"/>
      <c r="V78" s="1"/>
      <c r="W78" s="1"/>
      <c r="X78" s="1"/>
      <c r="Y78" s="1"/>
      <c r="Z78" s="1"/>
    </row>
    <row r="79" customFormat="false" ht="15.75" hidden="false" customHeight="true" outlineLevel="0" collapsed="false">
      <c r="H79" s="1"/>
      <c r="I79" s="1"/>
      <c r="J79" s="1"/>
      <c r="K79" s="1"/>
      <c r="L79" s="1"/>
      <c r="M79" s="1"/>
      <c r="N79" s="1"/>
      <c r="O79" s="1"/>
      <c r="P79" s="1"/>
      <c r="Q79" s="1"/>
      <c r="R79" s="1"/>
      <c r="S79" s="1"/>
      <c r="T79" s="1"/>
      <c r="U79" s="1"/>
      <c r="V79" s="1"/>
      <c r="W79" s="1"/>
      <c r="X79" s="1"/>
      <c r="Y79" s="1"/>
      <c r="Z79" s="1"/>
    </row>
    <row r="80" customFormat="false" ht="15.75" hidden="false" customHeight="true" outlineLevel="0" collapsed="false">
      <c r="H80" s="1"/>
      <c r="I80" s="1"/>
      <c r="J80" s="1"/>
      <c r="K80" s="1"/>
      <c r="L80" s="1"/>
      <c r="M80" s="1"/>
      <c r="N80" s="1"/>
      <c r="O80" s="1"/>
      <c r="P80" s="1"/>
      <c r="Q80" s="1"/>
      <c r="R80" s="1"/>
      <c r="S80" s="1"/>
      <c r="T80" s="1"/>
      <c r="U80" s="1"/>
      <c r="V80" s="1"/>
      <c r="W80" s="1"/>
      <c r="X80" s="1"/>
      <c r="Y80" s="1"/>
      <c r="Z80" s="1"/>
    </row>
    <row r="81" customFormat="false" ht="15.75" hidden="false" customHeight="true" outlineLevel="0" collapsed="false">
      <c r="H81" s="1"/>
      <c r="I81" s="1"/>
      <c r="J81" s="1"/>
      <c r="K81" s="1"/>
      <c r="L81" s="1"/>
      <c r="M81" s="1"/>
      <c r="N81" s="1"/>
      <c r="O81" s="1"/>
      <c r="P81" s="1"/>
      <c r="Q81" s="1"/>
      <c r="R81" s="1"/>
      <c r="S81" s="1"/>
      <c r="T81" s="1"/>
      <c r="U81" s="1"/>
      <c r="V81" s="1"/>
      <c r="W81" s="1"/>
      <c r="X81" s="1"/>
      <c r="Y81" s="1"/>
      <c r="Z81" s="1"/>
    </row>
    <row r="82" customFormat="false" ht="15.75" hidden="false" customHeight="true" outlineLevel="0" collapsed="false">
      <c r="H82" s="1"/>
      <c r="I82" s="1"/>
      <c r="J82" s="1"/>
      <c r="K82" s="1"/>
      <c r="L82" s="1"/>
      <c r="M82" s="1"/>
      <c r="N82" s="1"/>
      <c r="O82" s="1"/>
      <c r="P82" s="1"/>
      <c r="Q82" s="1"/>
      <c r="R82" s="1"/>
      <c r="S82" s="1"/>
      <c r="T82" s="1"/>
      <c r="U82" s="1"/>
      <c r="V82" s="1"/>
      <c r="W82" s="1"/>
      <c r="X82" s="1"/>
      <c r="Y82" s="1"/>
      <c r="Z82" s="1"/>
    </row>
    <row r="83" customFormat="false" ht="15.75" hidden="false" customHeight="true" outlineLevel="0" collapsed="false">
      <c r="H83" s="1"/>
      <c r="I83" s="1"/>
      <c r="J83" s="1"/>
      <c r="K83" s="1"/>
      <c r="L83" s="1"/>
      <c r="M83" s="1"/>
      <c r="N83" s="1"/>
      <c r="O83" s="1"/>
      <c r="P83" s="1"/>
      <c r="Q83" s="1"/>
      <c r="R83" s="1"/>
      <c r="S83" s="1"/>
      <c r="T83" s="1"/>
      <c r="U83" s="1"/>
      <c r="V83" s="1"/>
      <c r="W83" s="1"/>
      <c r="X83" s="1"/>
      <c r="Y83" s="1"/>
      <c r="Z83" s="1"/>
    </row>
    <row r="84" customFormat="false" ht="15.75" hidden="false" customHeight="true" outlineLevel="0" collapsed="false">
      <c r="H84" s="1"/>
      <c r="I84" s="1"/>
      <c r="J84" s="1"/>
      <c r="K84" s="1"/>
      <c r="L84" s="1"/>
      <c r="M84" s="1"/>
      <c r="N84" s="1"/>
      <c r="O84" s="1"/>
      <c r="P84" s="1"/>
      <c r="Q84" s="1"/>
      <c r="R84" s="1"/>
      <c r="S84" s="1"/>
      <c r="T84" s="1"/>
      <c r="U84" s="1"/>
      <c r="V84" s="1"/>
      <c r="W84" s="1"/>
      <c r="X84" s="1"/>
      <c r="Y84" s="1"/>
      <c r="Z84" s="1"/>
    </row>
    <row r="85" customFormat="false" ht="15.75" hidden="false" customHeight="true" outlineLevel="0" collapsed="false">
      <c r="H85" s="1"/>
      <c r="I85" s="1"/>
      <c r="J85" s="1"/>
      <c r="K85" s="1"/>
      <c r="L85" s="1"/>
      <c r="M85" s="1"/>
      <c r="N85" s="1"/>
      <c r="O85" s="1"/>
      <c r="P85" s="1"/>
      <c r="Q85" s="1"/>
      <c r="R85" s="1"/>
      <c r="S85" s="1"/>
      <c r="T85" s="1"/>
      <c r="U85" s="1"/>
      <c r="V85" s="1"/>
      <c r="W85" s="1"/>
      <c r="X85" s="1"/>
      <c r="Y85" s="1"/>
      <c r="Z85" s="1"/>
    </row>
    <row r="86" customFormat="false" ht="15.75" hidden="false" customHeight="true" outlineLevel="0" collapsed="false">
      <c r="H86" s="1"/>
      <c r="I86" s="1"/>
      <c r="J86" s="1"/>
      <c r="K86" s="1"/>
      <c r="L86" s="1"/>
      <c r="M86" s="1"/>
      <c r="N86" s="1"/>
      <c r="O86" s="1"/>
      <c r="P86" s="1"/>
      <c r="Q86" s="1"/>
      <c r="R86" s="1"/>
      <c r="S86" s="1"/>
      <c r="T86" s="1"/>
      <c r="U86" s="1"/>
      <c r="V86" s="1"/>
      <c r="W86" s="1"/>
      <c r="X86" s="1"/>
      <c r="Y86" s="1"/>
      <c r="Z86" s="1"/>
    </row>
    <row r="87" customFormat="false" ht="15.75" hidden="false" customHeight="true" outlineLevel="0" collapsed="false">
      <c r="H87" s="1"/>
      <c r="I87" s="1"/>
      <c r="J87" s="1"/>
      <c r="K87" s="1"/>
      <c r="L87" s="1"/>
      <c r="M87" s="1"/>
      <c r="N87" s="1"/>
      <c r="O87" s="1"/>
      <c r="P87" s="1"/>
      <c r="Q87" s="1"/>
      <c r="R87" s="1"/>
      <c r="S87" s="1"/>
      <c r="T87" s="1"/>
      <c r="U87" s="1"/>
      <c r="V87" s="1"/>
      <c r="W87" s="1"/>
      <c r="X87" s="1"/>
      <c r="Y87" s="1"/>
      <c r="Z87" s="1"/>
    </row>
    <row r="88" customFormat="false" ht="15.75" hidden="false" customHeight="true" outlineLevel="0" collapsed="false">
      <c r="H88" s="1"/>
      <c r="I88" s="1"/>
      <c r="J88" s="1"/>
      <c r="K88" s="1"/>
      <c r="L88" s="1"/>
      <c r="M88" s="1"/>
      <c r="N88" s="1"/>
      <c r="O88" s="1"/>
      <c r="P88" s="1"/>
      <c r="Q88" s="1"/>
      <c r="R88" s="1"/>
      <c r="S88" s="1"/>
      <c r="T88" s="1"/>
      <c r="U88" s="1"/>
      <c r="V88" s="1"/>
      <c r="W88" s="1"/>
      <c r="X88" s="1"/>
      <c r="Y88" s="1"/>
      <c r="Z88" s="1"/>
    </row>
    <row r="89" customFormat="false" ht="15.75" hidden="false" customHeight="true" outlineLevel="0" collapsed="false">
      <c r="H89" s="1"/>
      <c r="I89" s="1"/>
      <c r="J89" s="1"/>
      <c r="K89" s="1"/>
      <c r="L89" s="1"/>
      <c r="M89" s="1"/>
      <c r="N89" s="1"/>
      <c r="O89" s="1"/>
      <c r="P89" s="1"/>
      <c r="Q89" s="1"/>
      <c r="R89" s="1"/>
      <c r="S89" s="1"/>
      <c r="T89" s="1"/>
      <c r="U89" s="1"/>
      <c r="V89" s="1"/>
      <c r="W89" s="1"/>
      <c r="X89" s="1"/>
      <c r="Y89" s="1"/>
      <c r="Z89" s="1"/>
    </row>
    <row r="90" customFormat="false" ht="15.75" hidden="false" customHeight="true" outlineLevel="0" collapsed="false">
      <c r="H90" s="1"/>
      <c r="I90" s="1"/>
      <c r="J90" s="1"/>
      <c r="K90" s="1"/>
      <c r="L90" s="1"/>
      <c r="M90" s="1"/>
      <c r="N90" s="1"/>
      <c r="O90" s="1"/>
      <c r="P90" s="1"/>
      <c r="Q90" s="1"/>
      <c r="R90" s="1"/>
      <c r="S90" s="1"/>
      <c r="T90" s="1"/>
      <c r="U90" s="1"/>
      <c r="V90" s="1"/>
      <c r="W90" s="1"/>
      <c r="X90" s="1"/>
      <c r="Y90" s="1"/>
      <c r="Z90" s="1"/>
    </row>
    <row r="91" customFormat="false" ht="15.75" hidden="false" customHeight="true" outlineLevel="0" collapsed="false">
      <c r="H91" s="1"/>
      <c r="I91" s="1"/>
      <c r="J91" s="1"/>
      <c r="K91" s="1"/>
      <c r="L91" s="1"/>
      <c r="M91" s="1"/>
      <c r="N91" s="1"/>
      <c r="O91" s="1"/>
      <c r="P91" s="1"/>
      <c r="Q91" s="1"/>
      <c r="R91" s="1"/>
      <c r="S91" s="1"/>
      <c r="T91" s="1"/>
      <c r="U91" s="1"/>
      <c r="V91" s="1"/>
      <c r="W91" s="1"/>
      <c r="X91" s="1"/>
      <c r="Y91" s="1"/>
      <c r="Z91" s="1"/>
    </row>
    <row r="92" customFormat="false" ht="15.75" hidden="false" customHeight="true" outlineLevel="0" collapsed="false">
      <c r="H92" s="1"/>
      <c r="I92" s="1"/>
      <c r="J92" s="1"/>
      <c r="K92" s="1"/>
      <c r="L92" s="1"/>
      <c r="M92" s="1"/>
      <c r="N92" s="1"/>
      <c r="O92" s="1"/>
      <c r="P92" s="1"/>
      <c r="Q92" s="1"/>
      <c r="R92" s="1"/>
      <c r="S92" s="1"/>
      <c r="T92" s="1"/>
      <c r="U92" s="1"/>
      <c r="V92" s="1"/>
      <c r="W92" s="1"/>
      <c r="X92" s="1"/>
      <c r="Y92" s="1"/>
      <c r="Z92" s="1"/>
    </row>
    <row r="93" customFormat="false" ht="15.75" hidden="false" customHeight="true" outlineLevel="0" collapsed="false">
      <c r="H93" s="1"/>
      <c r="I93" s="1"/>
      <c r="J93" s="1"/>
      <c r="K93" s="1"/>
      <c r="L93" s="1"/>
      <c r="M93" s="1"/>
      <c r="N93" s="1"/>
      <c r="O93" s="1"/>
      <c r="P93" s="1"/>
      <c r="Q93" s="1"/>
      <c r="R93" s="1"/>
      <c r="S93" s="1"/>
      <c r="T93" s="1"/>
      <c r="U93" s="1"/>
      <c r="V93" s="1"/>
      <c r="W93" s="1"/>
      <c r="X93" s="1"/>
      <c r="Y93" s="1"/>
      <c r="Z93" s="1"/>
    </row>
    <row r="94" customFormat="false" ht="15.75" hidden="false" customHeight="true" outlineLevel="0" collapsed="false">
      <c r="H94" s="1"/>
      <c r="I94" s="1"/>
      <c r="J94" s="1"/>
      <c r="K94" s="1"/>
      <c r="L94" s="1"/>
      <c r="M94" s="1"/>
      <c r="N94" s="1"/>
      <c r="O94" s="1"/>
      <c r="P94" s="1"/>
      <c r="Q94" s="1"/>
      <c r="R94" s="1"/>
      <c r="S94" s="1"/>
      <c r="T94" s="1"/>
      <c r="U94" s="1"/>
      <c r="V94" s="1"/>
      <c r="W94" s="1"/>
      <c r="X94" s="1"/>
      <c r="Y94" s="1"/>
      <c r="Z94" s="1"/>
    </row>
    <row r="95" customFormat="false" ht="15.75" hidden="false" customHeight="true" outlineLevel="0" collapsed="false">
      <c r="H95" s="1"/>
      <c r="I95" s="1"/>
      <c r="J95" s="1"/>
      <c r="K95" s="1"/>
      <c r="L95" s="1"/>
      <c r="M95" s="1"/>
      <c r="N95" s="1"/>
      <c r="O95" s="1"/>
      <c r="P95" s="1"/>
      <c r="Q95" s="1"/>
      <c r="R95" s="1"/>
      <c r="S95" s="1"/>
      <c r="T95" s="1"/>
      <c r="U95" s="1"/>
      <c r="V95" s="1"/>
      <c r="W95" s="1"/>
      <c r="X95" s="1"/>
      <c r="Y95" s="1"/>
      <c r="Z95" s="1"/>
    </row>
    <row r="96" customFormat="false" ht="15.75" hidden="false" customHeight="true" outlineLevel="0" collapsed="false">
      <c r="H96" s="1"/>
      <c r="I96" s="1"/>
      <c r="J96" s="1"/>
      <c r="K96" s="1"/>
      <c r="L96" s="1"/>
      <c r="M96" s="1"/>
      <c r="N96" s="1"/>
      <c r="O96" s="1"/>
      <c r="P96" s="1"/>
      <c r="Q96" s="1"/>
      <c r="R96" s="1"/>
      <c r="S96" s="1"/>
      <c r="T96" s="1"/>
      <c r="U96" s="1"/>
      <c r="V96" s="1"/>
      <c r="W96" s="1"/>
      <c r="X96" s="1"/>
      <c r="Y96" s="1"/>
      <c r="Z96" s="1"/>
    </row>
    <row r="97" customFormat="false" ht="15.75" hidden="false" customHeight="true" outlineLevel="0" collapsed="false">
      <c r="H97" s="1"/>
      <c r="I97" s="1"/>
      <c r="J97" s="1"/>
      <c r="K97" s="1"/>
      <c r="L97" s="1"/>
      <c r="M97" s="1"/>
      <c r="N97" s="1"/>
      <c r="O97" s="1"/>
      <c r="P97" s="1"/>
      <c r="Q97" s="1"/>
      <c r="R97" s="1"/>
      <c r="S97" s="1"/>
      <c r="T97" s="1"/>
      <c r="U97" s="1"/>
      <c r="V97" s="1"/>
      <c r="W97" s="1"/>
      <c r="X97" s="1"/>
      <c r="Y97" s="1"/>
      <c r="Z97" s="1"/>
    </row>
    <row r="98" customFormat="false" ht="15.75" hidden="false" customHeight="true" outlineLevel="0" collapsed="false">
      <c r="H98" s="1"/>
      <c r="I98" s="1"/>
      <c r="J98" s="1"/>
      <c r="K98" s="1"/>
      <c r="L98" s="1"/>
      <c r="M98" s="1"/>
      <c r="N98" s="1"/>
      <c r="O98" s="1"/>
      <c r="P98" s="1"/>
      <c r="Q98" s="1"/>
      <c r="R98" s="1"/>
      <c r="S98" s="1"/>
      <c r="T98" s="1"/>
      <c r="U98" s="1"/>
      <c r="V98" s="1"/>
      <c r="W98" s="1"/>
      <c r="X98" s="1"/>
      <c r="Y98" s="1"/>
      <c r="Z98" s="1"/>
    </row>
    <row r="99" customFormat="false" ht="15.75" hidden="false" customHeight="true" outlineLevel="0" collapsed="false">
      <c r="H99" s="1"/>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H100" s="1"/>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H101" s="1"/>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H102" s="1"/>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H103" s="1"/>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H104" s="1"/>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H105" s="1"/>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H106" s="1"/>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H107" s="1"/>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H108" s="1"/>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H109" s="1"/>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H110" s="1"/>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H111" s="1"/>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H112" s="1"/>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H113" s="1"/>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H114" s="1"/>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H115" s="1"/>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H116" s="1"/>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H117" s="1"/>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H118" s="1"/>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H119" s="1"/>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H120" s="1"/>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H121" s="1"/>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H122" s="1"/>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H123" s="1"/>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H124" s="1"/>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H125" s="1"/>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H126" s="1"/>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H127" s="1"/>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H128" s="1"/>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H129" s="1"/>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H130" s="1"/>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H131" s="1"/>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H132" s="1"/>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H133" s="1"/>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H134" s="1"/>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H135" s="1"/>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H136" s="1"/>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H137" s="1"/>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H138" s="1"/>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H139" s="1"/>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H140" s="1"/>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H141" s="1"/>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H142" s="1"/>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H143" s="1"/>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H144" s="1"/>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H145" s="1"/>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H146" s="1"/>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H147" s="1"/>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H148" s="1"/>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H149" s="1"/>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H150" s="1"/>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H151" s="1"/>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H152" s="1"/>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H153" s="1"/>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H154" s="1"/>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H155" s="1"/>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H156" s="1"/>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H157" s="1"/>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H158" s="1"/>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H159" s="1"/>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H160" s="1"/>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H161" s="1"/>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H162" s="1"/>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H163" s="1"/>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H164" s="1"/>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H165" s="1"/>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H166" s="1"/>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H167" s="1"/>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H168" s="1"/>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H169" s="1"/>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H170" s="1"/>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H171" s="1"/>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H172" s="1"/>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H173" s="1"/>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H174" s="1"/>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H175" s="1"/>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H176" s="1"/>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H177" s="1"/>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H178" s="1"/>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H179" s="1"/>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H180" s="1"/>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H181" s="1"/>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H182" s="1"/>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H183" s="1"/>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H184" s="1"/>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H185" s="1"/>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H186" s="1"/>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H187" s="1"/>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H188" s="1"/>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H189" s="1"/>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H190" s="1"/>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H191" s="1"/>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H192" s="1"/>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H193" s="1"/>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H194" s="1"/>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H195" s="1"/>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H196" s="1"/>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H197" s="1"/>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H198" s="1"/>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H199" s="1"/>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H200" s="1"/>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H201" s="1"/>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H202" s="1"/>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H203" s="1"/>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H204" s="1"/>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H205" s="1"/>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H206" s="1"/>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H207" s="1"/>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H208" s="1"/>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H209" s="1"/>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H210" s="1"/>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H211" s="1"/>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H212" s="1"/>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H213" s="1"/>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H214" s="1"/>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H215" s="1"/>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H216" s="1"/>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H217" s="1"/>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H218" s="1"/>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H219" s="1"/>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H220" s="1"/>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H221" s="1"/>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H222" s="1"/>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H223" s="1"/>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H224" s="1"/>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H225" s="1"/>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H226" s="1"/>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H227" s="1"/>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H228" s="1"/>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H229" s="1"/>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H230" s="1"/>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H231" s="1"/>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H232" s="1"/>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H233" s="1"/>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H234" s="1"/>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H235" s="1"/>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H236" s="1"/>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H237" s="1"/>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H238" s="1"/>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H239" s="1"/>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H240" s="1"/>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H241" s="1"/>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H242" s="1"/>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H243" s="1"/>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H244" s="1"/>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H245" s="1"/>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H246" s="1"/>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H247" s="1"/>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H248" s="1"/>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H249" s="1"/>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H250" s="1"/>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H251" s="1"/>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H252" s="1"/>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H253" s="1"/>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H254" s="1"/>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H255" s="1"/>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H256" s="1"/>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H257" s="1"/>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H258" s="1"/>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H259" s="1"/>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H260" s="1"/>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H261" s="1"/>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H262" s="1"/>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H263" s="1"/>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H264" s="1"/>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H265" s="1"/>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H266" s="1"/>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H267" s="1"/>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H268" s="1"/>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H269" s="1"/>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H270" s="1"/>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H271" s="1"/>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H272" s="1"/>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H273" s="1"/>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H274" s="1"/>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H275" s="1"/>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H276" s="1"/>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H277" s="1"/>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H278" s="1"/>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H279" s="1"/>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H280" s="1"/>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H281" s="1"/>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H282" s="1"/>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H283" s="1"/>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H284" s="1"/>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H285" s="1"/>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H286" s="1"/>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H287" s="1"/>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H288" s="1"/>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H289" s="1"/>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H290" s="1"/>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H291" s="1"/>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H292" s="1"/>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H293" s="1"/>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H294" s="1"/>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H295" s="1"/>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H296" s="1"/>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H297" s="1"/>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H298" s="1"/>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H299" s="1"/>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H300" s="1"/>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H301" s="1"/>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H302" s="1"/>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H303" s="1"/>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H304" s="1"/>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H305" s="1"/>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H306" s="1"/>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H307" s="1"/>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H308" s="1"/>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H309" s="1"/>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H310" s="1"/>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H311" s="1"/>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H312" s="1"/>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H313" s="1"/>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H314" s="1"/>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H315" s="1"/>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H316" s="1"/>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H317" s="1"/>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H318" s="1"/>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H319" s="1"/>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H320" s="1"/>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H321" s="1"/>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H322" s="1"/>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H323" s="1"/>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H324" s="1"/>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H325" s="1"/>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H326" s="1"/>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H327" s="1"/>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H328" s="1"/>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H329" s="1"/>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H330" s="1"/>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H331" s="1"/>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H332" s="1"/>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H333" s="1"/>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H334" s="1"/>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H335" s="1"/>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H336" s="1"/>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H337" s="1"/>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H338" s="1"/>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H339" s="1"/>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H340" s="1"/>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H341" s="1"/>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H342" s="1"/>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H343" s="1"/>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H344" s="1"/>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H345" s="1"/>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H346" s="1"/>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H347" s="1"/>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H348" s="1"/>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H349" s="1"/>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H350" s="1"/>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H351" s="1"/>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H352" s="1"/>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H353" s="1"/>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H354" s="1"/>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H355" s="1"/>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H356" s="1"/>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H357" s="1"/>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H358" s="1"/>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H359" s="1"/>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H360" s="1"/>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H361" s="1"/>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H362" s="1"/>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H363" s="1"/>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H364" s="1"/>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H365" s="1"/>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H366" s="1"/>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H367" s="1"/>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H368" s="1"/>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H369" s="1"/>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H370" s="1"/>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H371" s="1"/>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H372" s="1"/>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H373" s="1"/>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H374" s="1"/>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H375" s="1"/>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H376" s="1"/>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H377" s="1"/>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H378" s="1"/>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H379" s="1"/>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H380" s="1"/>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H381" s="1"/>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H382" s="1"/>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H383" s="1"/>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H384" s="1"/>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H385" s="1"/>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H386" s="1"/>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H387" s="1"/>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H388" s="1"/>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H389" s="1"/>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H390" s="1"/>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H391" s="1"/>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H392" s="1"/>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H393" s="1"/>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H394" s="1"/>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H395" s="1"/>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H396" s="1"/>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H397" s="1"/>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H398" s="1"/>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H399" s="1"/>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H400" s="1"/>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H401" s="1"/>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H402" s="1"/>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H403" s="1"/>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H404" s="1"/>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H405" s="1"/>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H406" s="1"/>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H407" s="1"/>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H408" s="1"/>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H409" s="1"/>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H410" s="1"/>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H411" s="1"/>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H412" s="1"/>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H413" s="1"/>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H414" s="1"/>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H415" s="1"/>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H416" s="1"/>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H417" s="1"/>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H418" s="1"/>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H419" s="1"/>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H420" s="1"/>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H421" s="1"/>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H422" s="1"/>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H423" s="1"/>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H424" s="1"/>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H425" s="1"/>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H426" s="1"/>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H427" s="1"/>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H428" s="1"/>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H429" s="1"/>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H430" s="1"/>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H431" s="1"/>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H432" s="1"/>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H433" s="1"/>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H434" s="1"/>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H435" s="1"/>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H436" s="1"/>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H437" s="1"/>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H438" s="1"/>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H439" s="1"/>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H440" s="1"/>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H441" s="1"/>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H442" s="1"/>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H443" s="1"/>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H444" s="1"/>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H445" s="1"/>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H446" s="1"/>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H447" s="1"/>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H448" s="1"/>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H449" s="1"/>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H450" s="1"/>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H451" s="1"/>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H452" s="1"/>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H453" s="1"/>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H454" s="1"/>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H455" s="1"/>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H456" s="1"/>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H457" s="1"/>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H458" s="1"/>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H459" s="1"/>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H460" s="1"/>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H461" s="1"/>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H462" s="1"/>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H463" s="1"/>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H464" s="1"/>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H465" s="1"/>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H466" s="1"/>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H467" s="1"/>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H468" s="1"/>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H469" s="1"/>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H470" s="1"/>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H471" s="1"/>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H472" s="1"/>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H473" s="1"/>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H474" s="1"/>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H475" s="1"/>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H476" s="1"/>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H477" s="1"/>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H478" s="1"/>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H479" s="1"/>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H480" s="1"/>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H481" s="1"/>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H482" s="1"/>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H483" s="1"/>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H484" s="1"/>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H485" s="1"/>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H486" s="1"/>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H487" s="1"/>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H488" s="1"/>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H489" s="1"/>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H490" s="1"/>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H491" s="1"/>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H492" s="1"/>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H493" s="1"/>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H494" s="1"/>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H495" s="1"/>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H496" s="1"/>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H497" s="1"/>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H498" s="1"/>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H499" s="1"/>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H500" s="1"/>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H501" s="1"/>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H502" s="1"/>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H503" s="1"/>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H504" s="1"/>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H505" s="1"/>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H506" s="1"/>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H507" s="1"/>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H508" s="1"/>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H509" s="1"/>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H510" s="1"/>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H511" s="1"/>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H512" s="1"/>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H513" s="1"/>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H514" s="1"/>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H515" s="1"/>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H516" s="1"/>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H517" s="1"/>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H518" s="1"/>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H519" s="1"/>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H520" s="1"/>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H521" s="1"/>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H522" s="1"/>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H523" s="1"/>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H524" s="1"/>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H525" s="1"/>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H526" s="1"/>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H527" s="1"/>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H528" s="1"/>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H529" s="1"/>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H530" s="1"/>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H531" s="1"/>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H532" s="1"/>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H533" s="1"/>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H534" s="1"/>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H535" s="1"/>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H536" s="1"/>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H537" s="1"/>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H538" s="1"/>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H539" s="1"/>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H540" s="1"/>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H541" s="1"/>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H542" s="1"/>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H543" s="1"/>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H544" s="1"/>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H545" s="1"/>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H546" s="1"/>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H547" s="1"/>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H548" s="1"/>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H549" s="1"/>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H550" s="1"/>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H551" s="1"/>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H552" s="1"/>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H553" s="1"/>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H554" s="1"/>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H555" s="1"/>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H556" s="1"/>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H557" s="1"/>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H558" s="1"/>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H559" s="1"/>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H560" s="1"/>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H561" s="1"/>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H562" s="1"/>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H563" s="1"/>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H564" s="1"/>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H565" s="1"/>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H566" s="1"/>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H567" s="1"/>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H568" s="1"/>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H569" s="1"/>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H570" s="1"/>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H571" s="1"/>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H572" s="1"/>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H573" s="1"/>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H574" s="1"/>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H575" s="1"/>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H576" s="1"/>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H577" s="1"/>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H578" s="1"/>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H579" s="1"/>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H580" s="1"/>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H581" s="1"/>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H582" s="1"/>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H583" s="1"/>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H584" s="1"/>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H585" s="1"/>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H586" s="1"/>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H587" s="1"/>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H588" s="1"/>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H589" s="1"/>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H590" s="1"/>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H591" s="1"/>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H592" s="1"/>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H593" s="1"/>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H594" s="1"/>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H595" s="1"/>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H596" s="1"/>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H597" s="1"/>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H598" s="1"/>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H599" s="1"/>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H600" s="1"/>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H601" s="1"/>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H602" s="1"/>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H603" s="1"/>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H604" s="1"/>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H605" s="1"/>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H606" s="1"/>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H607" s="1"/>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H608" s="1"/>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H609" s="1"/>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H610" s="1"/>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H611" s="1"/>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H612" s="1"/>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H613" s="1"/>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H614" s="1"/>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H615" s="1"/>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H616" s="1"/>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H617" s="1"/>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H618" s="1"/>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H619" s="1"/>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H620" s="1"/>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H621" s="1"/>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H622" s="1"/>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H623" s="1"/>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H624" s="1"/>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H625" s="1"/>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H626" s="1"/>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H627" s="1"/>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H628" s="1"/>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H629" s="1"/>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H630" s="1"/>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H631" s="1"/>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H632" s="1"/>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H633" s="1"/>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H634" s="1"/>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H635" s="1"/>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H636" s="1"/>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H637" s="1"/>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H638" s="1"/>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H639" s="1"/>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H640" s="1"/>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H641" s="1"/>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H642" s="1"/>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H643" s="1"/>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H644" s="1"/>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H645" s="1"/>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H646" s="1"/>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H647" s="1"/>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H648" s="1"/>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H649" s="1"/>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H650" s="1"/>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H651" s="1"/>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H652" s="1"/>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H653" s="1"/>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H654" s="1"/>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H655" s="1"/>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H656" s="1"/>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H657" s="1"/>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H658" s="1"/>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H659" s="1"/>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H660" s="1"/>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H661" s="1"/>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H662" s="1"/>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H663" s="1"/>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H664" s="1"/>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H665" s="1"/>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H666" s="1"/>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H667" s="1"/>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H668" s="1"/>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H669" s="1"/>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H670" s="1"/>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H671" s="1"/>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H672" s="1"/>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H673" s="1"/>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H674" s="1"/>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H675" s="1"/>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H676" s="1"/>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H677" s="1"/>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H678" s="1"/>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H679" s="1"/>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H680" s="1"/>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H681" s="1"/>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H682" s="1"/>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H683" s="1"/>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H684" s="1"/>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H685" s="1"/>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H686" s="1"/>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H687" s="1"/>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H688" s="1"/>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H689" s="1"/>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H690" s="1"/>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H691" s="1"/>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H692" s="1"/>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H693" s="1"/>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H694" s="1"/>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H695" s="1"/>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H696" s="1"/>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H697" s="1"/>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H698" s="1"/>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H699" s="1"/>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H700" s="1"/>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H701" s="1"/>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H702" s="1"/>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H703" s="1"/>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H704" s="1"/>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H705" s="1"/>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H706" s="1"/>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H707" s="1"/>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H708" s="1"/>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H709" s="1"/>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H710" s="1"/>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H711" s="1"/>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H712" s="1"/>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H713" s="1"/>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H714" s="1"/>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H715" s="1"/>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H716" s="1"/>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H717" s="1"/>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H718" s="1"/>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H719" s="1"/>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H720" s="1"/>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H721" s="1"/>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H722" s="1"/>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H723" s="1"/>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H724" s="1"/>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H725" s="1"/>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H726" s="1"/>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H727" s="1"/>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H728" s="1"/>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H729" s="1"/>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H730" s="1"/>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H731" s="1"/>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H732" s="1"/>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H733" s="1"/>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H734" s="1"/>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H735" s="1"/>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H736" s="1"/>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H737" s="1"/>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H738" s="1"/>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H739" s="1"/>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H740" s="1"/>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H741" s="1"/>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H742" s="1"/>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H743" s="1"/>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H744" s="1"/>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H745" s="1"/>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H746" s="1"/>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H747" s="1"/>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H748" s="1"/>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H749" s="1"/>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H750" s="1"/>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H751" s="1"/>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H752" s="1"/>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H753" s="1"/>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H754" s="1"/>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H755" s="1"/>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H756" s="1"/>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H757" s="1"/>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H758" s="1"/>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H759" s="1"/>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H760" s="1"/>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H761" s="1"/>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H762" s="1"/>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H763" s="1"/>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H764" s="1"/>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H765" s="1"/>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H766" s="1"/>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H767" s="1"/>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H768" s="1"/>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H769" s="1"/>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H770" s="1"/>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H771" s="1"/>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H772" s="1"/>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H773" s="1"/>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H774" s="1"/>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H775" s="1"/>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H776" s="1"/>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H777" s="1"/>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H778" s="1"/>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H779" s="1"/>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H780" s="1"/>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H781" s="1"/>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H782" s="1"/>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H783" s="1"/>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H784" s="1"/>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H785" s="1"/>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H786" s="1"/>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H787" s="1"/>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H788" s="1"/>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H789" s="1"/>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H790" s="1"/>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H791" s="1"/>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H792" s="1"/>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H793" s="1"/>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H794" s="1"/>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H795" s="1"/>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H796" s="1"/>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H797" s="1"/>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H798" s="1"/>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H799" s="1"/>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H800" s="1"/>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H801" s="1"/>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H802" s="1"/>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H803" s="1"/>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H804" s="1"/>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H805" s="1"/>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H806" s="1"/>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H807" s="1"/>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H808" s="1"/>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H809" s="1"/>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H810" s="1"/>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H811" s="1"/>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H812" s="1"/>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H813" s="1"/>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H814" s="1"/>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H815" s="1"/>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H816" s="1"/>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H817" s="1"/>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H818" s="1"/>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H819" s="1"/>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H820" s="1"/>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H821" s="1"/>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H822" s="1"/>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H823" s="1"/>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H824" s="1"/>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H825" s="1"/>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H826" s="1"/>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H827" s="1"/>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H828" s="1"/>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H829" s="1"/>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H830" s="1"/>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H831" s="1"/>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H832" s="1"/>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H833" s="1"/>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H834" s="1"/>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H835" s="1"/>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H836" s="1"/>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H837" s="1"/>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H838" s="1"/>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H839" s="1"/>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H840" s="1"/>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H841" s="1"/>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H842" s="1"/>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H843" s="1"/>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H844" s="1"/>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H845" s="1"/>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H846" s="1"/>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H847" s="1"/>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H848" s="1"/>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H849" s="1"/>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H850" s="1"/>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H851" s="1"/>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H852" s="1"/>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H853" s="1"/>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H854" s="1"/>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H855" s="1"/>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H856" s="1"/>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H857" s="1"/>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H858" s="1"/>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H859" s="1"/>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H860" s="1"/>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H861" s="1"/>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H862" s="1"/>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H863" s="1"/>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H864" s="1"/>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H865" s="1"/>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H866" s="1"/>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H867" s="1"/>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H868" s="1"/>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H869" s="1"/>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H870" s="1"/>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H871" s="1"/>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H872" s="1"/>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H873" s="1"/>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H874" s="1"/>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H875" s="1"/>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H876" s="1"/>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H877" s="1"/>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H878" s="1"/>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H879" s="1"/>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H880" s="1"/>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H881" s="1"/>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H882" s="1"/>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H883" s="1"/>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H884" s="1"/>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H885" s="1"/>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H886" s="1"/>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H887" s="1"/>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H888" s="1"/>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H889" s="1"/>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H890" s="1"/>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H891" s="1"/>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H892" s="1"/>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H893" s="1"/>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H894" s="1"/>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H895" s="1"/>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H896" s="1"/>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H897" s="1"/>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H898" s="1"/>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H899" s="1"/>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H900" s="1"/>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H901" s="1"/>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H902" s="1"/>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H903" s="1"/>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H904" s="1"/>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H905" s="1"/>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H906" s="1"/>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H907" s="1"/>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H908" s="1"/>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H909" s="1"/>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H910" s="1"/>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H911" s="1"/>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H912" s="1"/>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H913" s="1"/>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H914" s="1"/>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H915" s="1"/>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H916" s="1"/>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H917" s="1"/>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H918" s="1"/>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H919" s="1"/>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H920" s="1"/>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H921" s="1"/>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H922" s="1"/>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H923" s="1"/>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H924" s="1"/>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H925" s="1"/>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H926" s="1"/>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H927" s="1"/>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H928" s="1"/>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H929" s="1"/>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H930" s="1"/>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H931" s="1"/>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H932" s="1"/>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H933" s="1"/>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H934" s="1"/>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H935" s="1"/>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H936" s="1"/>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H937" s="1"/>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H938" s="1"/>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H939" s="1"/>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H940" s="1"/>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H941" s="1"/>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H942" s="1"/>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H943" s="1"/>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H944" s="1"/>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H945" s="1"/>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H946" s="1"/>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H947" s="1"/>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H948" s="1"/>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H949" s="1"/>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H950" s="1"/>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H951" s="1"/>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H952" s="1"/>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H953" s="1"/>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H954" s="1"/>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H955" s="1"/>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H956" s="1"/>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H957" s="1"/>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H958" s="1"/>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H959" s="1"/>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H960" s="1"/>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H961" s="1"/>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H962" s="1"/>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H963" s="1"/>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H964" s="1"/>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H965" s="1"/>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H966" s="1"/>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H967" s="1"/>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H968" s="1"/>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H969" s="1"/>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H970" s="1"/>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H971" s="1"/>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H972" s="1"/>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H973" s="1"/>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H974" s="1"/>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H975" s="1"/>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H976" s="1"/>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H977" s="1"/>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H978" s="1"/>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H979" s="1"/>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H980" s="1"/>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H981" s="1"/>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H982" s="1"/>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H983" s="1"/>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H984" s="1"/>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H985" s="1"/>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H986" s="1"/>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H987" s="1"/>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H988" s="1"/>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H989" s="1"/>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H990" s="1"/>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H991" s="1"/>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H992" s="1"/>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H993" s="1"/>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H994" s="1"/>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H995" s="1"/>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H996" s="1"/>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H997" s="1"/>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H998" s="1"/>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H999" s="1"/>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H1000" s="1"/>
      <c r="I1000" s="1"/>
      <c r="J1000" s="1"/>
      <c r="K1000" s="1"/>
      <c r="L1000" s="1"/>
      <c r="M1000" s="1"/>
      <c r="N1000" s="1"/>
      <c r="O1000" s="1"/>
      <c r="P1000" s="1"/>
      <c r="Q1000" s="1"/>
      <c r="R1000" s="1"/>
      <c r="S1000" s="1"/>
      <c r="T1000" s="1"/>
      <c r="U1000" s="1"/>
      <c r="V1000" s="1"/>
      <c r="W1000" s="1"/>
      <c r="X1000" s="1"/>
      <c r="Y1000" s="1"/>
      <c r="Z1000" s="1"/>
    </row>
  </sheetData>
  <autoFilter ref="A3:G40"/>
  <mergeCells count="10">
    <mergeCell ref="A1:G1"/>
    <mergeCell ref="A2:G2"/>
    <mergeCell ref="A42:G42"/>
    <mergeCell ref="A43:G43"/>
    <mergeCell ref="A44:G44"/>
    <mergeCell ref="A45:G45"/>
    <mergeCell ref="A46:G46"/>
    <mergeCell ref="A47:G47"/>
    <mergeCell ref="A48:G48"/>
    <mergeCell ref="A49:G4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2" min="1" style="1" width="18"/>
    <col collapsed="false" customWidth="true" hidden="false" outlineLevel="0" max="4" min="3" style="1" width="14"/>
    <col collapsed="false" customWidth="true" hidden="false" outlineLevel="0" max="5" min="5" style="1" width="20"/>
    <col collapsed="false" customWidth="true" hidden="false" outlineLevel="0" max="6" min="6" style="1" width="16"/>
  </cols>
  <sheetData>
    <row r="1" customFormat="false" ht="39.75" hidden="false" customHeight="true" outlineLevel="0" collapsed="false">
      <c r="A1" s="77" t="s">
        <v>377</v>
      </c>
      <c r="B1" s="77"/>
      <c r="C1" s="77"/>
      <c r="D1" s="77"/>
      <c r="E1" s="77"/>
      <c r="F1" s="77"/>
      <c r="G1" s="1"/>
      <c r="H1" s="1"/>
      <c r="I1" s="1"/>
      <c r="J1" s="1"/>
      <c r="K1" s="1"/>
      <c r="L1" s="1"/>
      <c r="M1" s="1"/>
      <c r="N1" s="1"/>
      <c r="O1" s="1"/>
      <c r="P1" s="1"/>
      <c r="Q1" s="1"/>
      <c r="R1" s="1"/>
      <c r="S1" s="1"/>
      <c r="T1" s="1"/>
      <c r="U1" s="1"/>
      <c r="V1" s="1"/>
      <c r="W1" s="1"/>
      <c r="X1" s="1"/>
      <c r="Y1" s="1"/>
      <c r="Z1" s="1"/>
    </row>
    <row r="2" customFormat="false" ht="19.5" hidden="false" customHeight="true" outlineLevel="0" collapsed="false">
      <c r="A2" s="63" t="s">
        <v>312</v>
      </c>
      <c r="B2" s="63"/>
      <c r="C2" s="63"/>
      <c r="D2" s="63"/>
      <c r="E2" s="63"/>
      <c r="F2" s="63"/>
      <c r="G2" s="1"/>
      <c r="H2" s="1"/>
      <c r="I2" s="1"/>
      <c r="J2" s="1"/>
      <c r="K2" s="1"/>
      <c r="L2" s="1"/>
      <c r="M2" s="1"/>
      <c r="N2" s="1"/>
      <c r="O2" s="1"/>
      <c r="P2" s="1"/>
      <c r="Q2" s="1"/>
      <c r="R2" s="1"/>
      <c r="S2" s="1"/>
      <c r="T2" s="1"/>
      <c r="U2" s="1"/>
      <c r="V2" s="1"/>
      <c r="W2" s="1"/>
      <c r="X2" s="1"/>
      <c r="Y2" s="1"/>
      <c r="Z2" s="1"/>
    </row>
    <row r="3" customFormat="false" ht="26.25" hidden="false" customHeight="true" outlineLevel="0" collapsed="false">
      <c r="A3" s="78" t="s">
        <v>313</v>
      </c>
      <c r="B3" s="78" t="s">
        <v>378</v>
      </c>
      <c r="C3" s="78" t="s">
        <v>314</v>
      </c>
      <c r="D3" s="78" t="s">
        <v>379</v>
      </c>
      <c r="E3" s="78" t="s">
        <v>380</v>
      </c>
      <c r="F3" s="78" t="s">
        <v>381</v>
      </c>
      <c r="G3" s="1"/>
      <c r="H3" s="1"/>
      <c r="I3" s="1"/>
      <c r="J3" s="1"/>
      <c r="K3" s="1"/>
      <c r="L3" s="1"/>
      <c r="M3" s="1"/>
      <c r="N3" s="1"/>
      <c r="O3" s="1"/>
      <c r="P3" s="1"/>
      <c r="Q3" s="1"/>
      <c r="R3" s="1"/>
      <c r="S3" s="1"/>
      <c r="T3" s="1"/>
      <c r="U3" s="1"/>
      <c r="V3" s="1"/>
      <c r="W3" s="1"/>
      <c r="X3" s="1"/>
      <c r="Y3" s="1"/>
      <c r="Z3" s="1"/>
    </row>
    <row r="4" customFormat="false" ht="15" hidden="false" customHeight="true" outlineLevel="0" collapsed="false">
      <c r="A4" s="79" t="s">
        <v>325</v>
      </c>
      <c r="B4" s="25" t="n">
        <v>8</v>
      </c>
      <c r="C4" s="25" t="n">
        <v>596</v>
      </c>
      <c r="D4" s="25" t="n">
        <v>1054.87</v>
      </c>
      <c r="E4" s="80" t="n">
        <f aca="false">C4/2145</f>
        <v>0.277855477855478</v>
      </c>
      <c r="F4" s="76" t="n">
        <f aca="false">IF(C4&gt;0,D4/C4,0)</f>
        <v>1.76991610738255</v>
      </c>
      <c r="G4" s="1"/>
      <c r="H4" s="1"/>
      <c r="I4" s="1"/>
      <c r="J4" s="1"/>
      <c r="K4" s="1"/>
      <c r="L4" s="1"/>
      <c r="M4" s="1"/>
      <c r="N4" s="1"/>
      <c r="O4" s="1"/>
      <c r="P4" s="1"/>
      <c r="Q4" s="1"/>
      <c r="R4" s="1"/>
      <c r="S4" s="1"/>
      <c r="T4" s="1"/>
      <c r="U4" s="1"/>
      <c r="V4" s="1"/>
      <c r="W4" s="1"/>
      <c r="X4" s="1"/>
      <c r="Y4" s="1"/>
      <c r="Z4" s="1"/>
    </row>
    <row r="5" customFormat="false" ht="15" hidden="false" customHeight="true" outlineLevel="0" collapsed="false">
      <c r="A5" s="81" t="s">
        <v>319</v>
      </c>
      <c r="B5" s="30" t="n">
        <v>6</v>
      </c>
      <c r="C5" s="30" t="n">
        <v>523</v>
      </c>
      <c r="D5" s="30" t="n">
        <v>909.43</v>
      </c>
      <c r="E5" s="82" t="n">
        <f aca="false">C5/2145</f>
        <v>0.243822843822844</v>
      </c>
      <c r="F5" s="76" t="n">
        <f aca="false">IF(C4&gt;0,D4/C4,0)</f>
        <v>1.76991610738255</v>
      </c>
      <c r="G5" s="1"/>
      <c r="H5" s="1"/>
      <c r="I5" s="1"/>
      <c r="J5" s="1"/>
      <c r="K5" s="1"/>
      <c r="L5" s="1"/>
      <c r="M5" s="1"/>
      <c r="N5" s="1"/>
      <c r="O5" s="1"/>
      <c r="P5" s="1"/>
      <c r="Q5" s="1"/>
      <c r="R5" s="1"/>
      <c r="S5" s="1"/>
      <c r="T5" s="1"/>
      <c r="U5" s="1"/>
      <c r="V5" s="1"/>
      <c r="W5" s="1"/>
      <c r="X5" s="1"/>
      <c r="Y5" s="1"/>
      <c r="Z5" s="1"/>
    </row>
    <row r="6" customFormat="false" ht="15" hidden="false" customHeight="true" outlineLevel="0" collapsed="false">
      <c r="A6" s="79" t="s">
        <v>321</v>
      </c>
      <c r="B6" s="25" t="n">
        <v>10</v>
      </c>
      <c r="C6" s="25" t="n">
        <v>438</v>
      </c>
      <c r="D6" s="25" t="n">
        <v>609.03</v>
      </c>
      <c r="E6" s="80" t="n">
        <f aca="false">C6/2145</f>
        <v>0.204195804195804</v>
      </c>
      <c r="F6" s="83" t="n">
        <f aca="false">IF(C5&gt;0,D5/C5,0)</f>
        <v>1.73887189292543</v>
      </c>
      <c r="G6" s="1"/>
      <c r="H6" s="1"/>
      <c r="I6" s="1"/>
      <c r="J6" s="1"/>
      <c r="K6" s="1"/>
      <c r="L6" s="1"/>
      <c r="M6" s="1"/>
      <c r="N6" s="1"/>
      <c r="O6" s="1"/>
      <c r="P6" s="1"/>
      <c r="Q6" s="1"/>
      <c r="R6" s="1"/>
      <c r="S6" s="1"/>
      <c r="T6" s="1"/>
      <c r="U6" s="1"/>
      <c r="V6" s="1"/>
      <c r="W6" s="1"/>
      <c r="X6" s="1"/>
      <c r="Y6" s="1"/>
      <c r="Z6" s="1"/>
    </row>
    <row r="7" customFormat="false" ht="15" hidden="false" customHeight="true" outlineLevel="0" collapsed="false">
      <c r="A7" s="81" t="s">
        <v>323</v>
      </c>
      <c r="B7" s="30" t="n">
        <v>3</v>
      </c>
      <c r="C7" s="30" t="n">
        <v>309</v>
      </c>
      <c r="D7" s="30" t="n">
        <v>340.38</v>
      </c>
      <c r="E7" s="82" t="n">
        <f aca="false">C7/2145</f>
        <v>0.144055944055944</v>
      </c>
      <c r="F7" s="76" t="n">
        <f aca="false">IF(C6&gt;0,D6/C6,0)</f>
        <v>1.39047945205479</v>
      </c>
      <c r="G7" s="1"/>
      <c r="H7" s="1"/>
      <c r="I7" s="1"/>
      <c r="J7" s="1"/>
      <c r="K7" s="1"/>
      <c r="L7" s="1"/>
      <c r="M7" s="1"/>
      <c r="N7" s="1"/>
      <c r="O7" s="1"/>
      <c r="P7" s="1"/>
      <c r="Q7" s="1"/>
      <c r="R7" s="1"/>
      <c r="S7" s="1"/>
      <c r="T7" s="1"/>
      <c r="U7" s="1"/>
      <c r="V7" s="1"/>
      <c r="W7" s="1"/>
      <c r="X7" s="1"/>
      <c r="Y7" s="1"/>
      <c r="Z7" s="1"/>
    </row>
    <row r="8" customFormat="false" ht="15" hidden="false" customHeight="true" outlineLevel="0" collapsed="false">
      <c r="A8" s="79" t="s">
        <v>329</v>
      </c>
      <c r="B8" s="25" t="n">
        <v>7</v>
      </c>
      <c r="C8" s="25" t="n">
        <v>159</v>
      </c>
      <c r="D8" s="25" t="n">
        <v>121.86</v>
      </c>
      <c r="E8" s="80" t="n">
        <f aca="false">C8/2145</f>
        <v>0.0741258741258741</v>
      </c>
      <c r="F8" s="83" t="n">
        <f aca="false">IF(C7&gt;0,D7/C7,0)</f>
        <v>1.10155339805825</v>
      </c>
      <c r="G8" s="1"/>
      <c r="H8" s="1"/>
      <c r="I8" s="1"/>
      <c r="J8" s="1"/>
      <c r="K8" s="1"/>
      <c r="L8" s="1"/>
      <c r="M8" s="1"/>
      <c r="N8" s="1"/>
      <c r="O8" s="1"/>
      <c r="P8" s="1"/>
      <c r="Q8" s="1"/>
      <c r="R8" s="1"/>
      <c r="S8" s="1"/>
      <c r="T8" s="1"/>
      <c r="U8" s="1"/>
      <c r="V8" s="1"/>
      <c r="W8" s="1"/>
      <c r="X8" s="1"/>
      <c r="Y8" s="1"/>
      <c r="Z8" s="1"/>
    </row>
    <row r="9" customFormat="false" ht="15" hidden="false" customHeight="true" outlineLevel="0" collapsed="false">
      <c r="A9" s="81" t="s">
        <v>361</v>
      </c>
      <c r="B9" s="30" t="n">
        <v>2</v>
      </c>
      <c r="C9" s="30" t="n">
        <v>120</v>
      </c>
      <c r="D9" s="30" t="n">
        <v>226.5</v>
      </c>
      <c r="E9" s="82" t="n">
        <f aca="false">C9/2145</f>
        <v>0.0559440559440559</v>
      </c>
      <c r="F9" s="83" t="n">
        <f aca="false">IF(C9&gt;0,D9/C9,0)</f>
        <v>1.8875</v>
      </c>
      <c r="G9" s="1"/>
      <c r="H9" s="1"/>
      <c r="I9" s="1"/>
      <c r="J9" s="1"/>
      <c r="K9" s="1"/>
      <c r="L9" s="1"/>
      <c r="M9" s="1"/>
      <c r="N9" s="1"/>
      <c r="O9" s="1"/>
      <c r="P9" s="1"/>
      <c r="Q9" s="1"/>
      <c r="R9" s="1"/>
      <c r="S9" s="1"/>
      <c r="T9" s="1"/>
      <c r="U9" s="1"/>
      <c r="V9" s="1"/>
      <c r="W9" s="1"/>
      <c r="X9" s="1"/>
      <c r="Y9" s="1"/>
      <c r="Z9" s="1"/>
    </row>
    <row r="10" customFormat="false" ht="15" hidden="false" customHeight="true" outlineLevel="0" collapsed="false">
      <c r="A10" s="38" t="s">
        <v>382</v>
      </c>
      <c r="B10" s="39" t="n">
        <v>36</v>
      </c>
      <c r="C10" s="39" t="n">
        <v>2145</v>
      </c>
      <c r="D10" s="39" t="n">
        <v>3262.07</v>
      </c>
      <c r="G10" s="1"/>
      <c r="H10" s="1"/>
      <c r="I10" s="1"/>
      <c r="J10" s="1"/>
      <c r="K10" s="1"/>
      <c r="L10" s="1"/>
      <c r="M10" s="1"/>
      <c r="N10" s="1"/>
      <c r="O10" s="1"/>
      <c r="P10" s="1"/>
      <c r="Q10" s="1"/>
      <c r="R10" s="1"/>
      <c r="S10" s="1"/>
      <c r="T10" s="1"/>
      <c r="U10" s="1"/>
      <c r="V10" s="1"/>
      <c r="W10" s="1"/>
      <c r="X10" s="1"/>
      <c r="Y10" s="1"/>
      <c r="Z10" s="1"/>
    </row>
    <row r="11" customFormat="false" ht="15" hidden="false" customHeight="true" outlineLevel="0" collapsed="false">
      <c r="G11" s="1"/>
      <c r="H11" s="1"/>
      <c r="I11" s="1"/>
      <c r="J11" s="1"/>
      <c r="K11" s="1"/>
      <c r="L11" s="1"/>
      <c r="M11" s="1"/>
      <c r="N11" s="1"/>
      <c r="O11" s="1"/>
      <c r="P11" s="1"/>
      <c r="Q11" s="1"/>
      <c r="R11" s="1"/>
      <c r="S11" s="1"/>
      <c r="T11" s="1"/>
      <c r="U11" s="1"/>
      <c r="V11" s="1"/>
      <c r="W11" s="1"/>
      <c r="X11" s="1"/>
      <c r="Y11" s="1"/>
      <c r="Z11" s="1"/>
    </row>
    <row r="12" customFormat="false" ht="15.75" hidden="false" customHeight="true" outlineLevel="0" collapsed="false">
      <c r="A12" s="45" t="s">
        <v>159</v>
      </c>
      <c r="B12" s="45"/>
      <c r="C12" s="45"/>
      <c r="D12" s="45"/>
      <c r="E12" s="45"/>
      <c r="F12" s="45"/>
      <c r="G12" s="1"/>
      <c r="H12" s="1"/>
      <c r="I12" s="1"/>
      <c r="J12" s="1"/>
      <c r="K12" s="1"/>
      <c r="L12" s="1"/>
      <c r="M12" s="1"/>
      <c r="N12" s="1"/>
      <c r="O12" s="1"/>
      <c r="P12" s="1"/>
      <c r="Q12" s="1"/>
      <c r="R12" s="1"/>
      <c r="S12" s="1"/>
      <c r="T12" s="1"/>
      <c r="U12" s="1"/>
      <c r="V12" s="1"/>
      <c r="W12" s="1"/>
      <c r="X12" s="1"/>
      <c r="Y12" s="1"/>
      <c r="Z12" s="1"/>
    </row>
    <row r="13" customFormat="false" ht="15.75" hidden="false" customHeight="true" outlineLevel="0" collapsed="false">
      <c r="A13" s="66" t="s">
        <v>333</v>
      </c>
      <c r="B13" s="66"/>
      <c r="C13" s="66"/>
      <c r="D13" s="66"/>
      <c r="E13" s="66"/>
      <c r="F13" s="66"/>
      <c r="G13" s="1"/>
      <c r="H13" s="1"/>
      <c r="I13" s="1"/>
      <c r="J13" s="1"/>
      <c r="K13" s="1"/>
      <c r="L13" s="1"/>
      <c r="M13" s="1"/>
      <c r="N13" s="1"/>
      <c r="O13" s="1"/>
      <c r="P13" s="1"/>
      <c r="Q13" s="1"/>
      <c r="R13" s="1"/>
      <c r="S13" s="1"/>
      <c r="T13" s="1"/>
      <c r="U13" s="1"/>
      <c r="V13" s="1"/>
      <c r="W13" s="1"/>
      <c r="X13" s="1"/>
      <c r="Y13" s="1"/>
      <c r="Z13" s="1"/>
    </row>
    <row r="14" customFormat="false" ht="15.75" hidden="false" customHeight="true" outlineLevel="0" collapsed="false">
      <c r="A14" s="46" t="s">
        <v>383</v>
      </c>
      <c r="B14" s="46"/>
      <c r="C14" s="46"/>
      <c r="D14" s="46"/>
      <c r="E14" s="46"/>
      <c r="F14" s="46"/>
      <c r="G14" s="1"/>
      <c r="H14" s="1"/>
      <c r="I14" s="1"/>
      <c r="J14" s="1"/>
      <c r="K14" s="1"/>
      <c r="L14" s="1"/>
      <c r="M14" s="1"/>
      <c r="N14" s="1"/>
      <c r="O14" s="1"/>
      <c r="P14" s="1"/>
      <c r="Q14" s="1"/>
      <c r="R14" s="1"/>
      <c r="S14" s="1"/>
      <c r="T14" s="1"/>
      <c r="U14" s="1"/>
      <c r="V14" s="1"/>
      <c r="W14" s="1"/>
      <c r="X14" s="1"/>
      <c r="Y14" s="1"/>
      <c r="Z14" s="1"/>
    </row>
    <row r="15" customFormat="false" ht="15.75" hidden="false" customHeight="true" outlineLevel="0" collapsed="false">
      <c r="A15" s="46" t="s">
        <v>384</v>
      </c>
      <c r="B15" s="46"/>
      <c r="C15" s="46"/>
      <c r="D15" s="46"/>
      <c r="E15" s="46"/>
      <c r="F15" s="46"/>
      <c r="G15" s="1"/>
      <c r="H15" s="1"/>
      <c r="I15" s="1"/>
      <c r="J15" s="1"/>
      <c r="K15" s="1"/>
      <c r="L15" s="1"/>
      <c r="M15" s="1"/>
      <c r="N15" s="1"/>
      <c r="O15" s="1"/>
      <c r="P15" s="1"/>
      <c r="Q15" s="1"/>
      <c r="R15" s="1"/>
      <c r="S15" s="1"/>
      <c r="T15" s="1"/>
      <c r="U15" s="1"/>
      <c r="V15" s="1"/>
      <c r="W15" s="1"/>
      <c r="X15" s="1"/>
      <c r="Y15" s="1"/>
      <c r="Z15" s="1"/>
    </row>
    <row r="16" customFormat="false" ht="15.75" hidden="false" customHeight="true" outlineLevel="0" collapsed="false">
      <c r="A16" s="46" t="s">
        <v>385</v>
      </c>
      <c r="B16" s="46"/>
      <c r="C16" s="46"/>
      <c r="D16" s="46"/>
      <c r="E16" s="46"/>
      <c r="F16" s="46"/>
      <c r="G16" s="1"/>
      <c r="H16" s="1"/>
      <c r="I16" s="1"/>
      <c r="J16" s="1"/>
      <c r="K16" s="1"/>
      <c r="L16" s="1"/>
      <c r="M16" s="1"/>
      <c r="N16" s="1"/>
      <c r="O16" s="1"/>
      <c r="P16" s="1"/>
      <c r="Q16" s="1"/>
      <c r="R16" s="1"/>
      <c r="S16" s="1"/>
      <c r="T16" s="1"/>
      <c r="U16" s="1"/>
      <c r="V16" s="1"/>
      <c r="W16" s="1"/>
      <c r="X16" s="1"/>
      <c r="Y16" s="1"/>
      <c r="Z16" s="1"/>
    </row>
    <row r="17" customFormat="false" ht="15.75" hidden="false" customHeight="true" outlineLevel="0" collapsed="false">
      <c r="A17" s="46" t="s">
        <v>386</v>
      </c>
      <c r="B17" s="46"/>
      <c r="C17" s="46"/>
      <c r="D17" s="46"/>
      <c r="E17" s="46"/>
      <c r="F17" s="46"/>
      <c r="G17" s="1"/>
      <c r="H17" s="1"/>
      <c r="I17" s="1"/>
      <c r="J17" s="1"/>
      <c r="K17" s="1"/>
      <c r="L17" s="1"/>
      <c r="M17" s="1"/>
      <c r="N17" s="1"/>
      <c r="O17" s="1"/>
      <c r="P17" s="1"/>
      <c r="Q17" s="1"/>
      <c r="R17" s="1"/>
      <c r="S17" s="1"/>
      <c r="T17" s="1"/>
      <c r="U17" s="1"/>
      <c r="V17" s="1"/>
      <c r="W17" s="1"/>
      <c r="X17" s="1"/>
      <c r="Y17" s="1"/>
      <c r="Z17" s="1"/>
    </row>
    <row r="18" customFormat="false" ht="15.75" hidden="false" customHeight="true" outlineLevel="0" collapsed="false">
      <c r="A18" s="46" t="s">
        <v>387</v>
      </c>
      <c r="B18" s="46"/>
      <c r="C18" s="46"/>
      <c r="D18" s="46"/>
      <c r="E18" s="46"/>
      <c r="F18" s="46"/>
      <c r="G18" s="1"/>
      <c r="H18" s="1"/>
      <c r="I18" s="1"/>
      <c r="J18" s="1"/>
      <c r="K18" s="1"/>
      <c r="L18" s="1"/>
      <c r="M18" s="1"/>
      <c r="N18" s="1"/>
      <c r="O18" s="1"/>
      <c r="P18" s="1"/>
      <c r="Q18" s="1"/>
      <c r="R18" s="1"/>
      <c r="S18" s="1"/>
      <c r="T18" s="1"/>
      <c r="U18" s="1"/>
      <c r="V18" s="1"/>
      <c r="W18" s="1"/>
      <c r="X18" s="1"/>
      <c r="Y18" s="1"/>
      <c r="Z18" s="1"/>
    </row>
    <row r="19" customFormat="false" ht="15.75" hidden="false" customHeight="true" outlineLevel="0" collapsed="false">
      <c r="A19" s="46" t="s">
        <v>388</v>
      </c>
      <c r="B19" s="46"/>
      <c r="C19" s="46"/>
      <c r="D19" s="46"/>
      <c r="E19" s="46"/>
      <c r="F19" s="46"/>
      <c r="G19" s="1"/>
      <c r="H19" s="1"/>
      <c r="I19" s="1"/>
      <c r="J19" s="1"/>
      <c r="K19" s="1"/>
      <c r="L19" s="1"/>
      <c r="M19" s="1"/>
      <c r="N19" s="1"/>
      <c r="O19" s="1"/>
      <c r="P19" s="1"/>
      <c r="Q19" s="1"/>
      <c r="R19" s="1"/>
      <c r="S19" s="1"/>
      <c r="T19" s="1"/>
      <c r="U19" s="1"/>
      <c r="V19" s="1"/>
      <c r="W19" s="1"/>
      <c r="X19" s="1"/>
      <c r="Y19" s="1"/>
      <c r="Z19" s="1"/>
    </row>
    <row r="20" customFormat="false" ht="74.25" hidden="false" customHeight="true" outlineLevel="0" collapsed="false">
      <c r="A20" s="72" t="s">
        <v>389</v>
      </c>
      <c r="G20" s="1"/>
      <c r="H20" s="1"/>
      <c r="I20" s="1"/>
      <c r="J20" s="1"/>
      <c r="K20" s="1"/>
      <c r="L20" s="1"/>
      <c r="M20" s="1"/>
      <c r="N20" s="1"/>
      <c r="O20" s="1"/>
      <c r="P20" s="1"/>
      <c r="Q20" s="1"/>
      <c r="R20" s="1"/>
      <c r="S20" s="1"/>
      <c r="T20" s="1"/>
      <c r="U20" s="1"/>
      <c r="V20" s="1"/>
      <c r="W20" s="1"/>
      <c r="X20" s="1"/>
      <c r="Y20" s="1"/>
      <c r="Z20" s="1"/>
    </row>
    <row r="21" customFormat="false" ht="15.75" hidden="false" customHeight="true" outlineLevel="0" collapsed="false">
      <c r="G21" s="1"/>
      <c r="H21" s="1"/>
      <c r="I21" s="1"/>
      <c r="J21" s="1"/>
      <c r="K21" s="1"/>
      <c r="L21" s="1"/>
      <c r="M21" s="1"/>
      <c r="N21" s="1"/>
      <c r="O21" s="1"/>
      <c r="P21" s="1"/>
      <c r="Q21" s="1"/>
      <c r="R21" s="1"/>
      <c r="S21" s="1"/>
      <c r="T21" s="1"/>
      <c r="U21" s="1"/>
      <c r="V21" s="1"/>
      <c r="W21" s="1"/>
      <c r="X21" s="1"/>
      <c r="Y21" s="1"/>
      <c r="Z21" s="1"/>
    </row>
    <row r="22" customFormat="false" ht="15.75" hidden="false" customHeight="true" outlineLevel="0" collapsed="false">
      <c r="G22" s="1"/>
      <c r="H22" s="1"/>
      <c r="I22" s="1"/>
      <c r="J22" s="1"/>
      <c r="K22" s="1"/>
      <c r="L22" s="1"/>
      <c r="M22" s="1"/>
      <c r="N22" s="1"/>
      <c r="O22" s="1"/>
      <c r="P22" s="1"/>
      <c r="Q22" s="1"/>
      <c r="R22" s="1"/>
      <c r="S22" s="1"/>
      <c r="T22" s="1"/>
      <c r="U22" s="1"/>
      <c r="V22" s="1"/>
      <c r="W22" s="1"/>
      <c r="X22" s="1"/>
      <c r="Y22" s="1"/>
      <c r="Z22" s="1"/>
    </row>
    <row r="23" customFormat="false" ht="15.75" hidden="false" customHeight="true" outlineLevel="0" collapsed="false">
      <c r="G23" s="1"/>
      <c r="H23" s="1"/>
      <c r="I23" s="1"/>
      <c r="J23" s="1"/>
      <c r="K23" s="1"/>
      <c r="L23" s="1"/>
      <c r="M23" s="1"/>
      <c r="N23" s="1"/>
      <c r="O23" s="1"/>
      <c r="P23" s="1"/>
      <c r="Q23" s="1"/>
      <c r="R23" s="1"/>
      <c r="S23" s="1"/>
      <c r="T23" s="1"/>
      <c r="U23" s="1"/>
      <c r="V23" s="1"/>
      <c r="W23" s="1"/>
      <c r="X23" s="1"/>
      <c r="Y23" s="1"/>
      <c r="Z23" s="1"/>
    </row>
    <row r="24" customFormat="false" ht="15.75" hidden="false" customHeight="true" outlineLevel="0" collapsed="false">
      <c r="G24" s="1"/>
      <c r="H24" s="1"/>
      <c r="I24" s="1"/>
      <c r="J24" s="1"/>
      <c r="K24" s="1"/>
      <c r="L24" s="1"/>
      <c r="M24" s="1"/>
      <c r="N24" s="1"/>
      <c r="O24" s="1"/>
      <c r="P24" s="1"/>
      <c r="Q24" s="1"/>
      <c r="R24" s="1"/>
      <c r="S24" s="1"/>
      <c r="T24" s="1"/>
      <c r="U24" s="1"/>
      <c r="V24" s="1"/>
      <c r="W24" s="1"/>
      <c r="X24" s="1"/>
      <c r="Y24" s="1"/>
      <c r="Z24" s="1"/>
    </row>
    <row r="25" customFormat="false" ht="15.75" hidden="false" customHeight="true" outlineLevel="0" collapsed="false">
      <c r="G25" s="1"/>
      <c r="H25" s="1"/>
      <c r="I25" s="1"/>
      <c r="J25" s="1"/>
      <c r="K25" s="1"/>
      <c r="L25" s="1"/>
      <c r="M25" s="1"/>
      <c r="N25" s="1"/>
      <c r="O25" s="1"/>
      <c r="P25" s="1"/>
      <c r="Q25" s="1"/>
      <c r="R25" s="1"/>
      <c r="S25" s="1"/>
      <c r="T25" s="1"/>
      <c r="U25" s="1"/>
      <c r="V25" s="1"/>
      <c r="W25" s="1"/>
      <c r="X25" s="1"/>
      <c r="Y25" s="1"/>
      <c r="Z25" s="1"/>
    </row>
    <row r="26" customFormat="false" ht="15.75" hidden="false" customHeight="true" outlineLevel="0" collapsed="false">
      <c r="G26" s="1"/>
      <c r="H26" s="1"/>
      <c r="I26" s="1"/>
      <c r="J26" s="1"/>
      <c r="K26" s="1"/>
      <c r="L26" s="1"/>
      <c r="M26" s="1"/>
      <c r="N26" s="1"/>
      <c r="O26" s="1"/>
      <c r="P26" s="1"/>
      <c r="Q26" s="1"/>
      <c r="R26" s="1"/>
      <c r="S26" s="1"/>
      <c r="T26" s="1"/>
      <c r="U26" s="1"/>
      <c r="V26" s="1"/>
      <c r="W26" s="1"/>
      <c r="X26" s="1"/>
      <c r="Y26" s="1"/>
      <c r="Z26" s="1"/>
    </row>
    <row r="27" customFormat="false" ht="15.75" hidden="false" customHeight="true" outlineLevel="0" collapsed="false">
      <c r="G27" s="1"/>
      <c r="H27" s="1"/>
      <c r="I27" s="1"/>
      <c r="J27" s="1"/>
      <c r="K27" s="1"/>
      <c r="L27" s="1"/>
      <c r="M27" s="1"/>
      <c r="N27" s="1"/>
      <c r="O27" s="1"/>
      <c r="P27" s="1"/>
      <c r="Q27" s="1"/>
      <c r="R27" s="1"/>
      <c r="S27" s="1"/>
      <c r="T27" s="1"/>
      <c r="U27" s="1"/>
      <c r="V27" s="1"/>
      <c r="W27" s="1"/>
      <c r="X27" s="1"/>
      <c r="Y27" s="1"/>
      <c r="Z27" s="1"/>
    </row>
    <row r="28" customFormat="false" ht="15.75" hidden="false" customHeight="true" outlineLevel="0" collapsed="false">
      <c r="G28" s="1"/>
      <c r="H28" s="1"/>
      <c r="I28" s="1"/>
      <c r="J28" s="1"/>
      <c r="K28" s="1"/>
      <c r="L28" s="1"/>
      <c r="M28" s="1"/>
      <c r="N28" s="1"/>
      <c r="O28" s="1"/>
      <c r="P28" s="1"/>
      <c r="Q28" s="1"/>
      <c r="R28" s="1"/>
      <c r="S28" s="1"/>
      <c r="T28" s="1"/>
      <c r="U28" s="1"/>
      <c r="V28" s="1"/>
      <c r="W28" s="1"/>
      <c r="X28" s="1"/>
      <c r="Y28" s="1"/>
      <c r="Z28" s="1"/>
    </row>
    <row r="29" customFormat="false" ht="15.75" hidden="false" customHeight="true" outlineLevel="0" collapsed="false">
      <c r="G29" s="1"/>
      <c r="H29" s="1"/>
      <c r="I29" s="1"/>
      <c r="J29" s="1"/>
      <c r="K29" s="1"/>
      <c r="L29" s="1"/>
      <c r="M29" s="1"/>
      <c r="N29" s="1"/>
      <c r="O29" s="1"/>
      <c r="P29" s="1"/>
      <c r="Q29" s="1"/>
      <c r="R29" s="1"/>
      <c r="S29" s="1"/>
      <c r="T29" s="1"/>
      <c r="U29" s="1"/>
      <c r="V29" s="1"/>
      <c r="W29" s="1"/>
      <c r="X29" s="1"/>
      <c r="Y29" s="1"/>
      <c r="Z29" s="1"/>
    </row>
    <row r="30" customFormat="false" ht="15.75" hidden="false" customHeight="true" outlineLevel="0" collapsed="false">
      <c r="G30" s="1"/>
      <c r="H30" s="1"/>
      <c r="I30" s="1"/>
      <c r="J30" s="1"/>
      <c r="K30" s="1"/>
      <c r="L30" s="1"/>
      <c r="M30" s="1"/>
      <c r="N30" s="1"/>
      <c r="O30" s="1"/>
      <c r="P30" s="1"/>
      <c r="Q30" s="1"/>
      <c r="R30" s="1"/>
      <c r="S30" s="1"/>
      <c r="T30" s="1"/>
      <c r="U30" s="1"/>
      <c r="V30" s="1"/>
      <c r="W30" s="1"/>
      <c r="X30" s="1"/>
      <c r="Y30" s="1"/>
      <c r="Z30" s="1"/>
    </row>
    <row r="31" customFormat="false" ht="15.75" hidden="false" customHeight="true" outlineLevel="0" collapsed="false">
      <c r="G31" s="1"/>
      <c r="H31" s="1"/>
      <c r="I31" s="1"/>
      <c r="J31" s="1"/>
      <c r="K31" s="1"/>
      <c r="L31" s="1"/>
      <c r="M31" s="1"/>
      <c r="N31" s="1"/>
      <c r="O31" s="1"/>
      <c r="P31" s="1"/>
      <c r="Q31" s="1"/>
      <c r="R31" s="1"/>
      <c r="S31" s="1"/>
      <c r="T31" s="1"/>
      <c r="U31" s="1"/>
      <c r="V31" s="1"/>
      <c r="W31" s="1"/>
      <c r="X31" s="1"/>
      <c r="Y31" s="1"/>
      <c r="Z31" s="1"/>
    </row>
    <row r="32" customFormat="false" ht="15.75" hidden="false" customHeight="true" outlineLevel="0" collapsed="false">
      <c r="G32" s="1"/>
      <c r="H32" s="1"/>
      <c r="I32" s="1"/>
      <c r="J32" s="1"/>
      <c r="K32" s="1"/>
      <c r="L32" s="1"/>
      <c r="M32" s="1"/>
      <c r="N32" s="1"/>
      <c r="O32" s="1"/>
      <c r="P32" s="1"/>
      <c r="Q32" s="1"/>
      <c r="R32" s="1"/>
      <c r="S32" s="1"/>
      <c r="T32" s="1"/>
      <c r="U32" s="1"/>
      <c r="V32" s="1"/>
      <c r="W32" s="1"/>
      <c r="X32" s="1"/>
      <c r="Y32" s="1"/>
      <c r="Z32" s="1"/>
    </row>
    <row r="33" customFormat="false" ht="15.75" hidden="false" customHeight="true" outlineLevel="0" collapsed="false">
      <c r="G33" s="1"/>
      <c r="H33" s="1"/>
      <c r="I33" s="1"/>
      <c r="J33" s="1"/>
      <c r="K33" s="1"/>
      <c r="L33" s="1"/>
      <c r="M33" s="1"/>
      <c r="N33" s="1"/>
      <c r="O33" s="1"/>
      <c r="P33" s="1"/>
      <c r="Q33" s="1"/>
      <c r="R33" s="1"/>
      <c r="S33" s="1"/>
      <c r="T33" s="1"/>
      <c r="U33" s="1"/>
      <c r="V33" s="1"/>
      <c r="W33" s="1"/>
      <c r="X33" s="1"/>
      <c r="Y33" s="1"/>
      <c r="Z33" s="1"/>
    </row>
    <row r="34" customFormat="false" ht="15.75" hidden="false" customHeight="true" outlineLevel="0" collapsed="false">
      <c r="G34" s="1"/>
      <c r="H34" s="1"/>
      <c r="I34" s="1"/>
      <c r="J34" s="1"/>
      <c r="K34" s="1"/>
      <c r="L34" s="1"/>
      <c r="M34" s="1"/>
      <c r="N34" s="1"/>
      <c r="O34" s="1"/>
      <c r="P34" s="1"/>
      <c r="Q34" s="1"/>
      <c r="R34" s="1"/>
      <c r="S34" s="1"/>
      <c r="T34" s="1"/>
      <c r="U34" s="1"/>
      <c r="V34" s="1"/>
      <c r="W34" s="1"/>
      <c r="X34" s="1"/>
      <c r="Y34" s="1"/>
      <c r="Z34" s="1"/>
    </row>
    <row r="35" customFormat="false" ht="15.75" hidden="false" customHeight="true" outlineLevel="0" collapsed="false">
      <c r="G35" s="1"/>
      <c r="H35" s="1"/>
      <c r="I35" s="1"/>
      <c r="J35" s="1"/>
      <c r="K35" s="1"/>
      <c r="L35" s="1"/>
      <c r="M35" s="1"/>
      <c r="N35" s="1"/>
      <c r="O35" s="1"/>
      <c r="P35" s="1"/>
      <c r="Q35" s="1"/>
      <c r="R35" s="1"/>
      <c r="S35" s="1"/>
      <c r="T35" s="1"/>
      <c r="U35" s="1"/>
      <c r="V35" s="1"/>
      <c r="W35" s="1"/>
      <c r="X35" s="1"/>
      <c r="Y35" s="1"/>
      <c r="Z35" s="1"/>
    </row>
    <row r="36" customFormat="false" ht="15.75" hidden="false" customHeight="true" outlineLevel="0" collapsed="false">
      <c r="G36" s="1"/>
      <c r="H36" s="1"/>
      <c r="I36" s="1"/>
      <c r="J36" s="1"/>
      <c r="K36" s="1"/>
      <c r="L36" s="1"/>
      <c r="M36" s="1"/>
      <c r="N36" s="1"/>
      <c r="O36" s="1"/>
      <c r="P36" s="1"/>
      <c r="Q36" s="1"/>
      <c r="R36" s="1"/>
      <c r="S36" s="1"/>
      <c r="T36" s="1"/>
      <c r="U36" s="1"/>
      <c r="V36" s="1"/>
      <c r="W36" s="1"/>
      <c r="X36" s="1"/>
      <c r="Y36" s="1"/>
      <c r="Z36" s="1"/>
    </row>
    <row r="37" customFormat="false" ht="15.75" hidden="false" customHeight="true" outlineLevel="0" collapsed="false">
      <c r="G37" s="1"/>
      <c r="H37" s="1"/>
      <c r="I37" s="1"/>
      <c r="J37" s="1"/>
      <c r="K37" s="1"/>
      <c r="L37" s="1"/>
      <c r="M37" s="1"/>
      <c r="N37" s="1"/>
      <c r="O37" s="1"/>
      <c r="P37" s="1"/>
      <c r="Q37" s="1"/>
      <c r="R37" s="1"/>
      <c r="S37" s="1"/>
      <c r="T37" s="1"/>
      <c r="U37" s="1"/>
      <c r="V37" s="1"/>
      <c r="W37" s="1"/>
      <c r="X37" s="1"/>
      <c r="Y37" s="1"/>
      <c r="Z37" s="1"/>
    </row>
    <row r="38" customFormat="false" ht="15.75" hidden="false" customHeight="true" outlineLevel="0" collapsed="false">
      <c r="G38" s="1"/>
      <c r="H38" s="1"/>
      <c r="I38" s="1"/>
      <c r="J38" s="1"/>
      <c r="K38" s="1"/>
      <c r="L38" s="1"/>
      <c r="M38" s="1"/>
      <c r="N38" s="1"/>
      <c r="O38" s="1"/>
      <c r="P38" s="1"/>
      <c r="Q38" s="1"/>
      <c r="R38" s="1"/>
      <c r="S38" s="1"/>
      <c r="T38" s="1"/>
      <c r="U38" s="1"/>
      <c r="V38" s="1"/>
      <c r="W38" s="1"/>
      <c r="X38" s="1"/>
      <c r="Y38" s="1"/>
      <c r="Z38" s="1"/>
    </row>
    <row r="39" customFormat="false" ht="15.75" hidden="false" customHeight="true" outlineLevel="0" collapsed="false">
      <c r="G39" s="1"/>
      <c r="H39" s="1"/>
      <c r="I39" s="1"/>
      <c r="J39" s="1"/>
      <c r="K39" s="1"/>
      <c r="L39" s="1"/>
      <c r="M39" s="1"/>
      <c r="N39" s="1"/>
      <c r="O39" s="1"/>
      <c r="P39" s="1"/>
      <c r="Q39" s="1"/>
      <c r="R39" s="1"/>
      <c r="S39" s="1"/>
      <c r="T39" s="1"/>
      <c r="U39" s="1"/>
      <c r="V39" s="1"/>
      <c r="W39" s="1"/>
      <c r="X39" s="1"/>
      <c r="Y39" s="1"/>
      <c r="Z39" s="1"/>
    </row>
    <row r="40" customFormat="false" ht="15.75" hidden="false" customHeight="true" outlineLevel="0" collapsed="false">
      <c r="G40" s="1"/>
      <c r="H40" s="1"/>
      <c r="I40" s="1"/>
      <c r="J40" s="1"/>
      <c r="K40" s="1"/>
      <c r="L40" s="1"/>
      <c r="M40" s="1"/>
      <c r="N40" s="1"/>
      <c r="O40" s="1"/>
      <c r="P40" s="1"/>
      <c r="Q40" s="1"/>
      <c r="R40" s="1"/>
      <c r="S40" s="1"/>
      <c r="T40" s="1"/>
      <c r="U40" s="1"/>
      <c r="V40" s="1"/>
      <c r="W40" s="1"/>
      <c r="X40" s="1"/>
      <c r="Y40" s="1"/>
      <c r="Z40" s="1"/>
    </row>
    <row r="41" customFormat="false" ht="15.75" hidden="false" customHeight="true" outlineLevel="0" collapsed="false">
      <c r="G41" s="1"/>
      <c r="H41" s="1"/>
      <c r="I41" s="1"/>
      <c r="J41" s="1"/>
      <c r="K41" s="1"/>
      <c r="L41" s="1"/>
      <c r="M41" s="1"/>
      <c r="N41" s="1"/>
      <c r="O41" s="1"/>
      <c r="P41" s="1"/>
      <c r="Q41" s="1"/>
      <c r="R41" s="1"/>
      <c r="S41" s="1"/>
      <c r="T41" s="1"/>
      <c r="U41" s="1"/>
      <c r="V41" s="1"/>
      <c r="W41" s="1"/>
      <c r="X41" s="1"/>
      <c r="Y41" s="1"/>
      <c r="Z41" s="1"/>
    </row>
    <row r="42" customFormat="false" ht="15.75" hidden="false" customHeight="true" outlineLevel="0" collapsed="false">
      <c r="G42" s="1"/>
      <c r="H42" s="1"/>
      <c r="I42" s="1"/>
      <c r="J42" s="1"/>
      <c r="K42" s="1"/>
      <c r="L42" s="1"/>
      <c r="M42" s="1"/>
      <c r="N42" s="1"/>
      <c r="O42" s="1"/>
      <c r="P42" s="1"/>
      <c r="Q42" s="1"/>
      <c r="R42" s="1"/>
      <c r="S42" s="1"/>
      <c r="T42" s="1"/>
      <c r="U42" s="1"/>
      <c r="V42" s="1"/>
      <c r="W42" s="1"/>
      <c r="X42" s="1"/>
      <c r="Y42" s="1"/>
      <c r="Z42" s="1"/>
    </row>
    <row r="43" customFormat="false" ht="15.75" hidden="false" customHeight="true" outlineLevel="0" collapsed="false">
      <c r="G43" s="1"/>
      <c r="H43" s="1"/>
      <c r="I43" s="1"/>
      <c r="J43" s="1"/>
      <c r="K43" s="1"/>
      <c r="L43" s="1"/>
      <c r="M43" s="1"/>
      <c r="N43" s="1"/>
      <c r="O43" s="1"/>
      <c r="P43" s="1"/>
      <c r="Q43" s="1"/>
      <c r="R43" s="1"/>
      <c r="S43" s="1"/>
      <c r="T43" s="1"/>
      <c r="U43" s="1"/>
      <c r="V43" s="1"/>
      <c r="W43" s="1"/>
      <c r="X43" s="1"/>
      <c r="Y43" s="1"/>
      <c r="Z43" s="1"/>
    </row>
    <row r="44" customFormat="false" ht="15.75" hidden="false" customHeight="true" outlineLevel="0" collapsed="false">
      <c r="G44" s="1"/>
      <c r="H44" s="1"/>
      <c r="I44" s="1"/>
      <c r="J44" s="1"/>
      <c r="K44" s="1"/>
      <c r="L44" s="1"/>
      <c r="M44" s="1"/>
      <c r="N44" s="1"/>
      <c r="O44" s="1"/>
      <c r="P44" s="1"/>
      <c r="Q44" s="1"/>
      <c r="R44" s="1"/>
      <c r="S44" s="1"/>
      <c r="T44" s="1"/>
      <c r="U44" s="1"/>
      <c r="V44" s="1"/>
      <c r="W44" s="1"/>
      <c r="X44" s="1"/>
      <c r="Y44" s="1"/>
      <c r="Z44" s="1"/>
    </row>
    <row r="45" customFormat="false" ht="15.75" hidden="false" customHeight="true" outlineLevel="0" collapsed="false">
      <c r="G45" s="1"/>
      <c r="H45" s="1"/>
      <c r="I45" s="1"/>
      <c r="J45" s="1"/>
      <c r="K45" s="1"/>
      <c r="L45" s="1"/>
      <c r="M45" s="1"/>
      <c r="N45" s="1"/>
      <c r="O45" s="1"/>
      <c r="P45" s="1"/>
      <c r="Q45" s="1"/>
      <c r="R45" s="1"/>
      <c r="S45" s="1"/>
      <c r="T45" s="1"/>
      <c r="U45" s="1"/>
      <c r="V45" s="1"/>
      <c r="W45" s="1"/>
      <c r="X45" s="1"/>
      <c r="Y45" s="1"/>
      <c r="Z45" s="1"/>
    </row>
    <row r="46" customFormat="false" ht="15.75" hidden="false" customHeight="true" outlineLevel="0" collapsed="false">
      <c r="G46" s="1"/>
      <c r="H46" s="1"/>
      <c r="I46" s="1"/>
      <c r="J46" s="1"/>
      <c r="K46" s="1"/>
      <c r="L46" s="1"/>
      <c r="M46" s="1"/>
      <c r="N46" s="1"/>
      <c r="O46" s="1"/>
      <c r="P46" s="1"/>
      <c r="Q46" s="1"/>
      <c r="R46" s="1"/>
      <c r="S46" s="1"/>
      <c r="T46" s="1"/>
      <c r="U46" s="1"/>
      <c r="V46" s="1"/>
      <c r="W46" s="1"/>
      <c r="X46" s="1"/>
      <c r="Y46" s="1"/>
      <c r="Z46" s="1"/>
    </row>
    <row r="47" customFormat="false" ht="15.75" hidden="false" customHeight="true" outlineLevel="0" collapsed="false">
      <c r="G47" s="1"/>
      <c r="H47" s="1"/>
      <c r="I47" s="1"/>
      <c r="J47" s="1"/>
      <c r="K47" s="1"/>
      <c r="L47" s="1"/>
      <c r="M47" s="1"/>
      <c r="N47" s="1"/>
      <c r="O47" s="1"/>
      <c r="P47" s="1"/>
      <c r="Q47" s="1"/>
      <c r="R47" s="1"/>
      <c r="S47" s="1"/>
      <c r="T47" s="1"/>
      <c r="U47" s="1"/>
      <c r="V47" s="1"/>
      <c r="W47" s="1"/>
      <c r="X47" s="1"/>
      <c r="Y47" s="1"/>
      <c r="Z47" s="1"/>
    </row>
    <row r="48" customFormat="false" ht="15.75" hidden="false" customHeight="true" outlineLevel="0" collapsed="false">
      <c r="G48" s="1"/>
      <c r="H48" s="1"/>
      <c r="I48" s="1"/>
      <c r="J48" s="1"/>
      <c r="K48" s="1"/>
      <c r="L48" s="1"/>
      <c r="M48" s="1"/>
      <c r="N48" s="1"/>
      <c r="O48" s="1"/>
      <c r="P48" s="1"/>
      <c r="Q48" s="1"/>
      <c r="R48" s="1"/>
      <c r="S48" s="1"/>
      <c r="T48" s="1"/>
      <c r="U48" s="1"/>
      <c r="V48" s="1"/>
      <c r="W48" s="1"/>
      <c r="X48" s="1"/>
      <c r="Y48" s="1"/>
      <c r="Z48" s="1"/>
    </row>
    <row r="49" customFormat="false" ht="15.75" hidden="false" customHeight="true" outlineLevel="0" collapsed="false">
      <c r="G49" s="1"/>
      <c r="H49" s="1"/>
      <c r="I49" s="1"/>
      <c r="J49" s="1"/>
      <c r="K49" s="1"/>
      <c r="L49" s="1"/>
      <c r="M49" s="1"/>
      <c r="N49" s="1"/>
      <c r="O49" s="1"/>
      <c r="P49" s="1"/>
      <c r="Q49" s="1"/>
      <c r="R49" s="1"/>
      <c r="S49" s="1"/>
      <c r="T49" s="1"/>
      <c r="U49" s="1"/>
      <c r="V49" s="1"/>
      <c r="W49" s="1"/>
      <c r="X49" s="1"/>
      <c r="Y49" s="1"/>
      <c r="Z49" s="1"/>
    </row>
    <row r="50" customFormat="false" ht="15.75" hidden="false" customHeight="true" outlineLevel="0" collapsed="false">
      <c r="G50" s="1"/>
      <c r="H50" s="1"/>
      <c r="I50" s="1"/>
      <c r="J50" s="1"/>
      <c r="K50" s="1"/>
      <c r="L50" s="1"/>
      <c r="M50" s="1"/>
      <c r="N50" s="1"/>
      <c r="O50" s="1"/>
      <c r="P50" s="1"/>
      <c r="Q50" s="1"/>
      <c r="R50" s="1"/>
      <c r="S50" s="1"/>
      <c r="T50" s="1"/>
      <c r="U50" s="1"/>
      <c r="V50" s="1"/>
      <c r="W50" s="1"/>
      <c r="X50" s="1"/>
      <c r="Y50" s="1"/>
      <c r="Z50" s="1"/>
    </row>
    <row r="51" customFormat="false" ht="15.75" hidden="false" customHeight="true" outlineLevel="0" collapsed="false">
      <c r="G51" s="1"/>
      <c r="H51" s="1"/>
      <c r="I51" s="1"/>
      <c r="J51" s="1"/>
      <c r="K51" s="1"/>
      <c r="L51" s="1"/>
      <c r="M51" s="1"/>
      <c r="N51" s="1"/>
      <c r="O51" s="1"/>
      <c r="P51" s="1"/>
      <c r="Q51" s="1"/>
      <c r="R51" s="1"/>
      <c r="S51" s="1"/>
      <c r="T51" s="1"/>
      <c r="U51" s="1"/>
      <c r="V51" s="1"/>
      <c r="W51" s="1"/>
      <c r="X51" s="1"/>
      <c r="Y51" s="1"/>
      <c r="Z51" s="1"/>
    </row>
    <row r="52" customFormat="false" ht="15.75" hidden="false" customHeight="true" outlineLevel="0" collapsed="false">
      <c r="G52" s="1"/>
      <c r="H52" s="1"/>
      <c r="I52" s="1"/>
      <c r="J52" s="1"/>
      <c r="K52" s="1"/>
      <c r="L52" s="1"/>
      <c r="M52" s="1"/>
      <c r="N52" s="1"/>
      <c r="O52" s="1"/>
      <c r="P52" s="1"/>
      <c r="Q52" s="1"/>
      <c r="R52" s="1"/>
      <c r="S52" s="1"/>
      <c r="T52" s="1"/>
      <c r="U52" s="1"/>
      <c r="V52" s="1"/>
      <c r="W52" s="1"/>
      <c r="X52" s="1"/>
      <c r="Y52" s="1"/>
      <c r="Z52" s="1"/>
    </row>
    <row r="53" customFormat="false" ht="15.75" hidden="false" customHeight="true" outlineLevel="0" collapsed="false">
      <c r="G53" s="1"/>
      <c r="H53" s="1"/>
      <c r="I53" s="1"/>
      <c r="J53" s="1"/>
      <c r="K53" s="1"/>
      <c r="L53" s="1"/>
      <c r="M53" s="1"/>
      <c r="N53" s="1"/>
      <c r="O53" s="1"/>
      <c r="P53" s="1"/>
      <c r="Q53" s="1"/>
      <c r="R53" s="1"/>
      <c r="S53" s="1"/>
      <c r="T53" s="1"/>
      <c r="U53" s="1"/>
      <c r="V53" s="1"/>
      <c r="W53" s="1"/>
      <c r="X53" s="1"/>
      <c r="Y53" s="1"/>
      <c r="Z53" s="1"/>
    </row>
    <row r="54" customFormat="false" ht="15.75" hidden="false" customHeight="true" outlineLevel="0" collapsed="false">
      <c r="G54" s="1"/>
      <c r="H54" s="1"/>
      <c r="I54" s="1"/>
      <c r="J54" s="1"/>
      <c r="K54" s="1"/>
      <c r="L54" s="1"/>
      <c r="M54" s="1"/>
      <c r="N54" s="1"/>
      <c r="O54" s="1"/>
      <c r="P54" s="1"/>
      <c r="Q54" s="1"/>
      <c r="R54" s="1"/>
      <c r="S54" s="1"/>
      <c r="T54" s="1"/>
      <c r="U54" s="1"/>
      <c r="V54" s="1"/>
      <c r="W54" s="1"/>
      <c r="X54" s="1"/>
      <c r="Y54" s="1"/>
      <c r="Z54" s="1"/>
    </row>
    <row r="55" customFormat="false" ht="15.75" hidden="false" customHeight="true" outlineLevel="0" collapsed="false">
      <c r="G55" s="1"/>
      <c r="H55" s="1"/>
      <c r="I55" s="1"/>
      <c r="J55" s="1"/>
      <c r="K55" s="1"/>
      <c r="L55" s="1"/>
      <c r="M55" s="1"/>
      <c r="N55" s="1"/>
      <c r="O55" s="1"/>
      <c r="P55" s="1"/>
      <c r="Q55" s="1"/>
      <c r="R55" s="1"/>
      <c r="S55" s="1"/>
      <c r="T55" s="1"/>
      <c r="U55" s="1"/>
      <c r="V55" s="1"/>
      <c r="W55" s="1"/>
      <c r="X55" s="1"/>
      <c r="Y55" s="1"/>
      <c r="Z55" s="1"/>
    </row>
    <row r="56" customFormat="false" ht="15.75" hidden="false" customHeight="true" outlineLevel="0" collapsed="false">
      <c r="G56" s="1"/>
      <c r="H56" s="1"/>
      <c r="I56" s="1"/>
      <c r="J56" s="1"/>
      <c r="K56" s="1"/>
      <c r="L56" s="1"/>
      <c r="M56" s="1"/>
      <c r="N56" s="1"/>
      <c r="O56" s="1"/>
      <c r="P56" s="1"/>
      <c r="Q56" s="1"/>
      <c r="R56" s="1"/>
      <c r="S56" s="1"/>
      <c r="T56" s="1"/>
      <c r="U56" s="1"/>
      <c r="V56" s="1"/>
      <c r="W56" s="1"/>
      <c r="X56" s="1"/>
      <c r="Y56" s="1"/>
      <c r="Z56" s="1"/>
    </row>
    <row r="57" customFormat="false" ht="15.75" hidden="false" customHeight="true" outlineLevel="0" collapsed="false">
      <c r="G57" s="1"/>
      <c r="H57" s="1"/>
      <c r="I57" s="1"/>
      <c r="J57" s="1"/>
      <c r="K57" s="1"/>
      <c r="L57" s="1"/>
      <c r="M57" s="1"/>
      <c r="N57" s="1"/>
      <c r="O57" s="1"/>
      <c r="P57" s="1"/>
      <c r="Q57" s="1"/>
      <c r="R57" s="1"/>
      <c r="S57" s="1"/>
      <c r="T57" s="1"/>
      <c r="U57" s="1"/>
      <c r="V57" s="1"/>
      <c r="W57" s="1"/>
      <c r="X57" s="1"/>
      <c r="Y57" s="1"/>
      <c r="Z57" s="1"/>
    </row>
    <row r="58" customFormat="false" ht="15.75" hidden="false" customHeight="true" outlineLevel="0" collapsed="false">
      <c r="G58" s="1"/>
      <c r="H58" s="1"/>
      <c r="I58" s="1"/>
      <c r="J58" s="1"/>
      <c r="K58" s="1"/>
      <c r="L58" s="1"/>
      <c r="M58" s="1"/>
      <c r="N58" s="1"/>
      <c r="O58" s="1"/>
      <c r="P58" s="1"/>
      <c r="Q58" s="1"/>
      <c r="R58" s="1"/>
      <c r="S58" s="1"/>
      <c r="T58" s="1"/>
      <c r="U58" s="1"/>
      <c r="V58" s="1"/>
      <c r="W58" s="1"/>
      <c r="X58" s="1"/>
      <c r="Y58" s="1"/>
      <c r="Z58" s="1"/>
    </row>
    <row r="59" customFormat="false" ht="15.75" hidden="false" customHeight="true" outlineLevel="0" collapsed="false">
      <c r="G59" s="1"/>
      <c r="H59" s="1"/>
      <c r="I59" s="1"/>
      <c r="J59" s="1"/>
      <c r="K59" s="1"/>
      <c r="L59" s="1"/>
      <c r="M59" s="1"/>
      <c r="N59" s="1"/>
      <c r="O59" s="1"/>
      <c r="P59" s="1"/>
      <c r="Q59" s="1"/>
      <c r="R59" s="1"/>
      <c r="S59" s="1"/>
      <c r="T59" s="1"/>
      <c r="U59" s="1"/>
      <c r="V59" s="1"/>
      <c r="W59" s="1"/>
      <c r="X59" s="1"/>
      <c r="Y59" s="1"/>
      <c r="Z59" s="1"/>
    </row>
    <row r="60" customFormat="false" ht="15.75" hidden="false" customHeight="true" outlineLevel="0" collapsed="false">
      <c r="G60" s="1"/>
      <c r="H60" s="1"/>
      <c r="I60" s="1"/>
      <c r="J60" s="1"/>
      <c r="K60" s="1"/>
      <c r="L60" s="1"/>
      <c r="M60" s="1"/>
      <c r="N60" s="1"/>
      <c r="O60" s="1"/>
      <c r="P60" s="1"/>
      <c r="Q60" s="1"/>
      <c r="R60" s="1"/>
      <c r="S60" s="1"/>
      <c r="T60" s="1"/>
      <c r="U60" s="1"/>
      <c r="V60" s="1"/>
      <c r="W60" s="1"/>
      <c r="X60" s="1"/>
      <c r="Y60" s="1"/>
      <c r="Z60" s="1"/>
    </row>
    <row r="61" customFormat="false" ht="15.75" hidden="false" customHeight="true" outlineLevel="0" collapsed="false">
      <c r="G61" s="1"/>
      <c r="H61" s="1"/>
      <c r="I61" s="1"/>
      <c r="J61" s="1"/>
      <c r="K61" s="1"/>
      <c r="L61" s="1"/>
      <c r="M61" s="1"/>
      <c r="N61" s="1"/>
      <c r="O61" s="1"/>
      <c r="P61" s="1"/>
      <c r="Q61" s="1"/>
      <c r="R61" s="1"/>
      <c r="S61" s="1"/>
      <c r="T61" s="1"/>
      <c r="U61" s="1"/>
      <c r="V61" s="1"/>
      <c r="W61" s="1"/>
      <c r="X61" s="1"/>
      <c r="Y61" s="1"/>
      <c r="Z61" s="1"/>
    </row>
    <row r="62" customFormat="false" ht="15.75" hidden="false" customHeight="true" outlineLevel="0" collapsed="false">
      <c r="G62" s="1"/>
      <c r="H62" s="1"/>
      <c r="I62" s="1"/>
      <c r="J62" s="1"/>
      <c r="K62" s="1"/>
      <c r="L62" s="1"/>
      <c r="M62" s="1"/>
      <c r="N62" s="1"/>
      <c r="O62" s="1"/>
      <c r="P62" s="1"/>
      <c r="Q62" s="1"/>
      <c r="R62" s="1"/>
      <c r="S62" s="1"/>
      <c r="T62" s="1"/>
      <c r="U62" s="1"/>
      <c r="V62" s="1"/>
      <c r="W62" s="1"/>
      <c r="X62" s="1"/>
      <c r="Y62" s="1"/>
      <c r="Z62" s="1"/>
    </row>
    <row r="63" customFormat="false" ht="15.75" hidden="false" customHeight="true" outlineLevel="0" collapsed="false">
      <c r="G63" s="1"/>
      <c r="H63" s="1"/>
      <c r="I63" s="1"/>
      <c r="J63" s="1"/>
      <c r="K63" s="1"/>
      <c r="L63" s="1"/>
      <c r="M63" s="1"/>
      <c r="N63" s="1"/>
      <c r="O63" s="1"/>
      <c r="P63" s="1"/>
      <c r="Q63" s="1"/>
      <c r="R63" s="1"/>
      <c r="S63" s="1"/>
      <c r="T63" s="1"/>
      <c r="U63" s="1"/>
      <c r="V63" s="1"/>
      <c r="W63" s="1"/>
      <c r="X63" s="1"/>
      <c r="Y63" s="1"/>
      <c r="Z63" s="1"/>
    </row>
    <row r="64" customFormat="false" ht="15.75" hidden="false" customHeight="true" outlineLevel="0" collapsed="false">
      <c r="G64" s="1"/>
      <c r="H64" s="1"/>
      <c r="I64" s="1"/>
      <c r="J64" s="1"/>
      <c r="K64" s="1"/>
      <c r="L64" s="1"/>
      <c r="M64" s="1"/>
      <c r="N64" s="1"/>
      <c r="O64" s="1"/>
      <c r="P64" s="1"/>
      <c r="Q64" s="1"/>
      <c r="R64" s="1"/>
      <c r="S64" s="1"/>
      <c r="T64" s="1"/>
      <c r="U64" s="1"/>
      <c r="V64" s="1"/>
      <c r="W64" s="1"/>
      <c r="X64" s="1"/>
      <c r="Y64" s="1"/>
      <c r="Z64" s="1"/>
    </row>
    <row r="65" customFormat="false" ht="15.75" hidden="false" customHeight="true" outlineLevel="0" collapsed="false">
      <c r="G65" s="1"/>
      <c r="H65" s="1"/>
      <c r="I65" s="1"/>
      <c r="J65" s="1"/>
      <c r="K65" s="1"/>
      <c r="L65" s="1"/>
      <c r="M65" s="1"/>
      <c r="N65" s="1"/>
      <c r="O65" s="1"/>
      <c r="P65" s="1"/>
      <c r="Q65" s="1"/>
      <c r="R65" s="1"/>
      <c r="S65" s="1"/>
      <c r="T65" s="1"/>
      <c r="U65" s="1"/>
      <c r="V65" s="1"/>
      <c r="W65" s="1"/>
      <c r="X65" s="1"/>
      <c r="Y65" s="1"/>
      <c r="Z65" s="1"/>
    </row>
    <row r="66" customFormat="false" ht="15.75" hidden="false" customHeight="true" outlineLevel="0" collapsed="false">
      <c r="G66" s="1"/>
      <c r="H66" s="1"/>
      <c r="I66" s="1"/>
      <c r="J66" s="1"/>
      <c r="K66" s="1"/>
      <c r="L66" s="1"/>
      <c r="M66" s="1"/>
      <c r="N66" s="1"/>
      <c r="O66" s="1"/>
      <c r="P66" s="1"/>
      <c r="Q66" s="1"/>
      <c r="R66" s="1"/>
      <c r="S66" s="1"/>
      <c r="T66" s="1"/>
      <c r="U66" s="1"/>
      <c r="V66" s="1"/>
      <c r="W66" s="1"/>
      <c r="X66" s="1"/>
      <c r="Y66" s="1"/>
      <c r="Z66" s="1"/>
    </row>
    <row r="67" customFormat="false" ht="15.75" hidden="false" customHeight="true" outlineLevel="0" collapsed="false">
      <c r="G67" s="1"/>
      <c r="H67" s="1"/>
      <c r="I67" s="1"/>
      <c r="J67" s="1"/>
      <c r="K67" s="1"/>
      <c r="L67" s="1"/>
      <c r="M67" s="1"/>
      <c r="N67" s="1"/>
      <c r="O67" s="1"/>
      <c r="P67" s="1"/>
      <c r="Q67" s="1"/>
      <c r="R67" s="1"/>
      <c r="S67" s="1"/>
      <c r="T67" s="1"/>
      <c r="U67" s="1"/>
      <c r="V67" s="1"/>
      <c r="W67" s="1"/>
      <c r="X67" s="1"/>
      <c r="Y67" s="1"/>
      <c r="Z67" s="1"/>
    </row>
    <row r="68" customFormat="false" ht="15.75" hidden="false" customHeight="true" outlineLevel="0" collapsed="false">
      <c r="G68" s="1"/>
      <c r="H68" s="1"/>
      <c r="I68" s="1"/>
      <c r="J68" s="1"/>
      <c r="K68" s="1"/>
      <c r="L68" s="1"/>
      <c r="M68" s="1"/>
      <c r="N68" s="1"/>
      <c r="O68" s="1"/>
      <c r="P68" s="1"/>
      <c r="Q68" s="1"/>
      <c r="R68" s="1"/>
      <c r="S68" s="1"/>
      <c r="T68" s="1"/>
      <c r="U68" s="1"/>
      <c r="V68" s="1"/>
      <c r="W68" s="1"/>
      <c r="X68" s="1"/>
      <c r="Y68" s="1"/>
      <c r="Z68" s="1"/>
    </row>
    <row r="69" customFormat="false" ht="15.75" hidden="false" customHeight="true" outlineLevel="0" collapsed="false">
      <c r="G69" s="1"/>
      <c r="H69" s="1"/>
      <c r="I69" s="1"/>
      <c r="J69" s="1"/>
      <c r="K69" s="1"/>
      <c r="L69" s="1"/>
      <c r="M69" s="1"/>
      <c r="N69" s="1"/>
      <c r="O69" s="1"/>
      <c r="P69" s="1"/>
      <c r="Q69" s="1"/>
      <c r="R69" s="1"/>
      <c r="S69" s="1"/>
      <c r="T69" s="1"/>
      <c r="U69" s="1"/>
      <c r="V69" s="1"/>
      <c r="W69" s="1"/>
      <c r="X69" s="1"/>
      <c r="Y69" s="1"/>
      <c r="Z69" s="1"/>
    </row>
    <row r="70" customFormat="false" ht="15.75" hidden="false" customHeight="true" outlineLevel="0" collapsed="false">
      <c r="G70" s="1"/>
      <c r="H70" s="1"/>
      <c r="I70" s="1"/>
      <c r="J70" s="1"/>
      <c r="K70" s="1"/>
      <c r="L70" s="1"/>
      <c r="M70" s="1"/>
      <c r="N70" s="1"/>
      <c r="O70" s="1"/>
      <c r="P70" s="1"/>
      <c r="Q70" s="1"/>
      <c r="R70" s="1"/>
      <c r="S70" s="1"/>
      <c r="T70" s="1"/>
      <c r="U70" s="1"/>
      <c r="V70" s="1"/>
      <c r="W70" s="1"/>
      <c r="X70" s="1"/>
      <c r="Y70" s="1"/>
      <c r="Z70" s="1"/>
    </row>
    <row r="71" customFormat="false" ht="15.75" hidden="false" customHeight="true" outlineLevel="0" collapsed="false">
      <c r="G71" s="1"/>
      <c r="H71" s="1"/>
      <c r="I71" s="1"/>
      <c r="J71" s="1"/>
      <c r="K71" s="1"/>
      <c r="L71" s="1"/>
      <c r="M71" s="1"/>
      <c r="N71" s="1"/>
      <c r="O71" s="1"/>
      <c r="P71" s="1"/>
      <c r="Q71" s="1"/>
      <c r="R71" s="1"/>
      <c r="S71" s="1"/>
      <c r="T71" s="1"/>
      <c r="U71" s="1"/>
      <c r="V71" s="1"/>
      <c r="W71" s="1"/>
      <c r="X71" s="1"/>
      <c r="Y71" s="1"/>
      <c r="Z71" s="1"/>
    </row>
    <row r="72" customFormat="false" ht="15.75" hidden="false" customHeight="true" outlineLevel="0" collapsed="false">
      <c r="G72" s="1"/>
      <c r="H72" s="1"/>
      <c r="I72" s="1"/>
      <c r="J72" s="1"/>
      <c r="K72" s="1"/>
      <c r="L72" s="1"/>
      <c r="M72" s="1"/>
      <c r="N72" s="1"/>
      <c r="O72" s="1"/>
      <c r="P72" s="1"/>
      <c r="Q72" s="1"/>
      <c r="R72" s="1"/>
      <c r="S72" s="1"/>
      <c r="T72" s="1"/>
      <c r="U72" s="1"/>
      <c r="V72" s="1"/>
      <c r="W72" s="1"/>
      <c r="X72" s="1"/>
      <c r="Y72" s="1"/>
      <c r="Z72" s="1"/>
    </row>
    <row r="73" customFormat="false" ht="15.75" hidden="false" customHeight="true" outlineLevel="0" collapsed="false">
      <c r="G73" s="1"/>
      <c r="H73" s="1"/>
      <c r="I73" s="1"/>
      <c r="J73" s="1"/>
      <c r="K73" s="1"/>
      <c r="L73" s="1"/>
      <c r="M73" s="1"/>
      <c r="N73" s="1"/>
      <c r="O73" s="1"/>
      <c r="P73" s="1"/>
      <c r="Q73" s="1"/>
      <c r="R73" s="1"/>
      <c r="S73" s="1"/>
      <c r="T73" s="1"/>
      <c r="U73" s="1"/>
      <c r="V73" s="1"/>
      <c r="W73" s="1"/>
      <c r="X73" s="1"/>
      <c r="Y73" s="1"/>
      <c r="Z73" s="1"/>
    </row>
    <row r="74" customFormat="false" ht="15.75" hidden="false" customHeight="true" outlineLevel="0" collapsed="false">
      <c r="G74" s="1"/>
      <c r="H74" s="1"/>
      <c r="I74" s="1"/>
      <c r="J74" s="1"/>
      <c r="K74" s="1"/>
      <c r="L74" s="1"/>
      <c r="M74" s="1"/>
      <c r="N74" s="1"/>
      <c r="O74" s="1"/>
      <c r="P74" s="1"/>
      <c r="Q74" s="1"/>
      <c r="R74" s="1"/>
      <c r="S74" s="1"/>
      <c r="T74" s="1"/>
      <c r="U74" s="1"/>
      <c r="V74" s="1"/>
      <c r="W74" s="1"/>
      <c r="X74" s="1"/>
      <c r="Y74" s="1"/>
      <c r="Z74" s="1"/>
    </row>
    <row r="75" customFormat="false" ht="15.75" hidden="false" customHeight="true" outlineLevel="0" collapsed="false">
      <c r="G75" s="1"/>
      <c r="H75" s="1"/>
      <c r="I75" s="1"/>
      <c r="J75" s="1"/>
      <c r="K75" s="1"/>
      <c r="L75" s="1"/>
      <c r="M75" s="1"/>
      <c r="N75" s="1"/>
      <c r="O75" s="1"/>
      <c r="P75" s="1"/>
      <c r="Q75" s="1"/>
      <c r="R75" s="1"/>
      <c r="S75" s="1"/>
      <c r="T75" s="1"/>
      <c r="U75" s="1"/>
      <c r="V75" s="1"/>
      <c r="W75" s="1"/>
      <c r="X75" s="1"/>
      <c r="Y75" s="1"/>
      <c r="Z75" s="1"/>
    </row>
    <row r="76" customFormat="false" ht="15.75" hidden="false" customHeight="true" outlineLevel="0" collapsed="false">
      <c r="G76" s="1"/>
      <c r="H76" s="1"/>
      <c r="I76" s="1"/>
      <c r="J76" s="1"/>
      <c r="K76" s="1"/>
      <c r="L76" s="1"/>
      <c r="M76" s="1"/>
      <c r="N76" s="1"/>
      <c r="O76" s="1"/>
      <c r="P76" s="1"/>
      <c r="Q76" s="1"/>
      <c r="R76" s="1"/>
      <c r="S76" s="1"/>
      <c r="T76" s="1"/>
      <c r="U76" s="1"/>
      <c r="V76" s="1"/>
      <c r="W76" s="1"/>
      <c r="X76" s="1"/>
      <c r="Y76" s="1"/>
      <c r="Z76" s="1"/>
    </row>
    <row r="77" customFormat="false" ht="15.75" hidden="false" customHeight="true" outlineLevel="0" collapsed="false">
      <c r="G77" s="1"/>
      <c r="H77" s="1"/>
      <c r="I77" s="1"/>
      <c r="J77" s="1"/>
      <c r="K77" s="1"/>
      <c r="L77" s="1"/>
      <c r="M77" s="1"/>
      <c r="N77" s="1"/>
      <c r="O77" s="1"/>
      <c r="P77" s="1"/>
      <c r="Q77" s="1"/>
      <c r="R77" s="1"/>
      <c r="S77" s="1"/>
      <c r="T77" s="1"/>
      <c r="U77" s="1"/>
      <c r="V77" s="1"/>
      <c r="W77" s="1"/>
      <c r="X77" s="1"/>
      <c r="Y77" s="1"/>
      <c r="Z77" s="1"/>
    </row>
    <row r="78" customFormat="false" ht="15.75" hidden="false" customHeight="true" outlineLevel="0" collapsed="false">
      <c r="G78" s="1"/>
      <c r="H78" s="1"/>
      <c r="I78" s="1"/>
      <c r="J78" s="1"/>
      <c r="K78" s="1"/>
      <c r="L78" s="1"/>
      <c r="M78" s="1"/>
      <c r="N78" s="1"/>
      <c r="O78" s="1"/>
      <c r="P78" s="1"/>
      <c r="Q78" s="1"/>
      <c r="R78" s="1"/>
      <c r="S78" s="1"/>
      <c r="T78" s="1"/>
      <c r="U78" s="1"/>
      <c r="V78" s="1"/>
      <c r="W78" s="1"/>
      <c r="X78" s="1"/>
      <c r="Y78" s="1"/>
      <c r="Z78" s="1"/>
    </row>
    <row r="79" customFormat="false" ht="15.75" hidden="false" customHeight="true" outlineLevel="0" collapsed="false">
      <c r="G79" s="1"/>
      <c r="H79" s="1"/>
      <c r="I79" s="1"/>
      <c r="J79" s="1"/>
      <c r="K79" s="1"/>
      <c r="L79" s="1"/>
      <c r="M79" s="1"/>
      <c r="N79" s="1"/>
      <c r="O79" s="1"/>
      <c r="P79" s="1"/>
      <c r="Q79" s="1"/>
      <c r="R79" s="1"/>
      <c r="S79" s="1"/>
      <c r="T79" s="1"/>
      <c r="U79" s="1"/>
      <c r="V79" s="1"/>
      <c r="W79" s="1"/>
      <c r="X79" s="1"/>
      <c r="Y79" s="1"/>
      <c r="Z79" s="1"/>
    </row>
    <row r="80" customFormat="false" ht="15.75" hidden="false" customHeight="true" outlineLevel="0" collapsed="false">
      <c r="G80" s="1"/>
      <c r="H80" s="1"/>
      <c r="I80" s="1"/>
      <c r="J80" s="1"/>
      <c r="K80" s="1"/>
      <c r="L80" s="1"/>
      <c r="M80" s="1"/>
      <c r="N80" s="1"/>
      <c r="O80" s="1"/>
      <c r="P80" s="1"/>
      <c r="Q80" s="1"/>
      <c r="R80" s="1"/>
      <c r="S80" s="1"/>
      <c r="T80" s="1"/>
      <c r="U80" s="1"/>
      <c r="V80" s="1"/>
      <c r="W80" s="1"/>
      <c r="X80" s="1"/>
      <c r="Y80" s="1"/>
      <c r="Z80" s="1"/>
    </row>
    <row r="81" customFormat="false" ht="15.75" hidden="false" customHeight="true" outlineLevel="0" collapsed="false">
      <c r="G81" s="1"/>
      <c r="H81" s="1"/>
      <c r="I81" s="1"/>
      <c r="J81" s="1"/>
      <c r="K81" s="1"/>
      <c r="L81" s="1"/>
      <c r="M81" s="1"/>
      <c r="N81" s="1"/>
      <c r="O81" s="1"/>
      <c r="P81" s="1"/>
      <c r="Q81" s="1"/>
      <c r="R81" s="1"/>
      <c r="S81" s="1"/>
      <c r="T81" s="1"/>
      <c r="U81" s="1"/>
      <c r="V81" s="1"/>
      <c r="W81" s="1"/>
      <c r="X81" s="1"/>
      <c r="Y81" s="1"/>
      <c r="Z81" s="1"/>
    </row>
    <row r="82" customFormat="false" ht="15.75" hidden="false" customHeight="true" outlineLevel="0" collapsed="false">
      <c r="G82" s="1"/>
      <c r="H82" s="1"/>
      <c r="I82" s="1"/>
      <c r="J82" s="1"/>
      <c r="K82" s="1"/>
      <c r="L82" s="1"/>
      <c r="M82" s="1"/>
      <c r="N82" s="1"/>
      <c r="O82" s="1"/>
      <c r="P82" s="1"/>
      <c r="Q82" s="1"/>
      <c r="R82" s="1"/>
      <c r="S82" s="1"/>
      <c r="T82" s="1"/>
      <c r="U82" s="1"/>
      <c r="V82" s="1"/>
      <c r="W82" s="1"/>
      <c r="X82" s="1"/>
      <c r="Y82" s="1"/>
      <c r="Z82" s="1"/>
    </row>
    <row r="83" customFormat="false" ht="15.75" hidden="false" customHeight="true" outlineLevel="0" collapsed="false">
      <c r="G83" s="1"/>
      <c r="H83" s="1"/>
      <c r="I83" s="1"/>
      <c r="J83" s="1"/>
      <c r="K83" s="1"/>
      <c r="L83" s="1"/>
      <c r="M83" s="1"/>
      <c r="N83" s="1"/>
      <c r="O83" s="1"/>
      <c r="P83" s="1"/>
      <c r="Q83" s="1"/>
      <c r="R83" s="1"/>
      <c r="S83" s="1"/>
      <c r="T83" s="1"/>
      <c r="U83" s="1"/>
      <c r="V83" s="1"/>
      <c r="W83" s="1"/>
      <c r="X83" s="1"/>
      <c r="Y83" s="1"/>
      <c r="Z83" s="1"/>
    </row>
    <row r="84" customFormat="false" ht="15.75" hidden="false" customHeight="true" outlineLevel="0" collapsed="false">
      <c r="G84" s="1"/>
      <c r="H84" s="1"/>
      <c r="I84" s="1"/>
      <c r="J84" s="1"/>
      <c r="K84" s="1"/>
      <c r="L84" s="1"/>
      <c r="M84" s="1"/>
      <c r="N84" s="1"/>
      <c r="O84" s="1"/>
      <c r="P84" s="1"/>
      <c r="Q84" s="1"/>
      <c r="R84" s="1"/>
      <c r="S84" s="1"/>
      <c r="T84" s="1"/>
      <c r="U84" s="1"/>
      <c r="V84" s="1"/>
      <c r="W84" s="1"/>
      <c r="X84" s="1"/>
      <c r="Y84" s="1"/>
      <c r="Z84" s="1"/>
    </row>
    <row r="85" customFormat="false" ht="15.75" hidden="false" customHeight="true" outlineLevel="0" collapsed="false">
      <c r="G85" s="1"/>
      <c r="H85" s="1"/>
      <c r="I85" s="1"/>
      <c r="J85" s="1"/>
      <c r="K85" s="1"/>
      <c r="L85" s="1"/>
      <c r="M85" s="1"/>
      <c r="N85" s="1"/>
      <c r="O85" s="1"/>
      <c r="P85" s="1"/>
      <c r="Q85" s="1"/>
      <c r="R85" s="1"/>
      <c r="S85" s="1"/>
      <c r="T85" s="1"/>
      <c r="U85" s="1"/>
      <c r="V85" s="1"/>
      <c r="W85" s="1"/>
      <c r="X85" s="1"/>
      <c r="Y85" s="1"/>
      <c r="Z85" s="1"/>
    </row>
    <row r="86" customFormat="false" ht="15.75" hidden="false" customHeight="true" outlineLevel="0" collapsed="false">
      <c r="G86" s="1"/>
      <c r="H86" s="1"/>
      <c r="I86" s="1"/>
      <c r="J86" s="1"/>
      <c r="K86" s="1"/>
      <c r="L86" s="1"/>
      <c r="M86" s="1"/>
      <c r="N86" s="1"/>
      <c r="O86" s="1"/>
      <c r="P86" s="1"/>
      <c r="Q86" s="1"/>
      <c r="R86" s="1"/>
      <c r="S86" s="1"/>
      <c r="T86" s="1"/>
      <c r="U86" s="1"/>
      <c r="V86" s="1"/>
      <c r="W86" s="1"/>
      <c r="X86" s="1"/>
      <c r="Y86" s="1"/>
      <c r="Z86" s="1"/>
    </row>
    <row r="87" customFormat="false" ht="15.75" hidden="false" customHeight="true" outlineLevel="0" collapsed="false">
      <c r="G87" s="1"/>
      <c r="H87" s="1"/>
      <c r="I87" s="1"/>
      <c r="J87" s="1"/>
      <c r="K87" s="1"/>
      <c r="L87" s="1"/>
      <c r="M87" s="1"/>
      <c r="N87" s="1"/>
      <c r="O87" s="1"/>
      <c r="P87" s="1"/>
      <c r="Q87" s="1"/>
      <c r="R87" s="1"/>
      <c r="S87" s="1"/>
      <c r="T87" s="1"/>
      <c r="U87" s="1"/>
      <c r="V87" s="1"/>
      <c r="W87" s="1"/>
      <c r="X87" s="1"/>
      <c r="Y87" s="1"/>
      <c r="Z87" s="1"/>
    </row>
    <row r="88" customFormat="false" ht="15.75" hidden="false" customHeight="true" outlineLevel="0" collapsed="false">
      <c r="G88" s="1"/>
      <c r="H88" s="1"/>
      <c r="I88" s="1"/>
      <c r="J88" s="1"/>
      <c r="K88" s="1"/>
      <c r="L88" s="1"/>
      <c r="M88" s="1"/>
      <c r="N88" s="1"/>
      <c r="O88" s="1"/>
      <c r="P88" s="1"/>
      <c r="Q88" s="1"/>
      <c r="R88" s="1"/>
      <c r="S88" s="1"/>
      <c r="T88" s="1"/>
      <c r="U88" s="1"/>
      <c r="V88" s="1"/>
      <c r="W88" s="1"/>
      <c r="X88" s="1"/>
      <c r="Y88" s="1"/>
      <c r="Z88" s="1"/>
    </row>
    <row r="89" customFormat="false" ht="15.75" hidden="false" customHeight="true" outlineLevel="0" collapsed="false">
      <c r="G89" s="1"/>
      <c r="H89" s="1"/>
      <c r="I89" s="1"/>
      <c r="J89" s="1"/>
      <c r="K89" s="1"/>
      <c r="L89" s="1"/>
      <c r="M89" s="1"/>
      <c r="N89" s="1"/>
      <c r="O89" s="1"/>
      <c r="P89" s="1"/>
      <c r="Q89" s="1"/>
      <c r="R89" s="1"/>
      <c r="S89" s="1"/>
      <c r="T89" s="1"/>
      <c r="U89" s="1"/>
      <c r="V89" s="1"/>
      <c r="W89" s="1"/>
      <c r="X89" s="1"/>
      <c r="Y89" s="1"/>
      <c r="Z89" s="1"/>
    </row>
    <row r="90" customFormat="false" ht="15.75" hidden="false" customHeight="true" outlineLevel="0" collapsed="false">
      <c r="G90" s="1"/>
      <c r="H90" s="1"/>
      <c r="I90" s="1"/>
      <c r="J90" s="1"/>
      <c r="K90" s="1"/>
      <c r="L90" s="1"/>
      <c r="M90" s="1"/>
      <c r="N90" s="1"/>
      <c r="O90" s="1"/>
      <c r="P90" s="1"/>
      <c r="Q90" s="1"/>
      <c r="R90" s="1"/>
      <c r="S90" s="1"/>
      <c r="T90" s="1"/>
      <c r="U90" s="1"/>
      <c r="V90" s="1"/>
      <c r="W90" s="1"/>
      <c r="X90" s="1"/>
      <c r="Y90" s="1"/>
      <c r="Z90" s="1"/>
    </row>
    <row r="91" customFormat="false" ht="15.75" hidden="false" customHeight="true" outlineLevel="0" collapsed="false">
      <c r="G91" s="1"/>
      <c r="H91" s="1"/>
      <c r="I91" s="1"/>
      <c r="J91" s="1"/>
      <c r="K91" s="1"/>
      <c r="L91" s="1"/>
      <c r="M91" s="1"/>
      <c r="N91" s="1"/>
      <c r="O91" s="1"/>
      <c r="P91" s="1"/>
      <c r="Q91" s="1"/>
      <c r="R91" s="1"/>
      <c r="S91" s="1"/>
      <c r="T91" s="1"/>
      <c r="U91" s="1"/>
      <c r="V91" s="1"/>
      <c r="W91" s="1"/>
      <c r="X91" s="1"/>
      <c r="Y91" s="1"/>
      <c r="Z91" s="1"/>
    </row>
    <row r="92" customFormat="false" ht="15.75" hidden="false" customHeight="true" outlineLevel="0" collapsed="false">
      <c r="G92" s="1"/>
      <c r="H92" s="1"/>
      <c r="I92" s="1"/>
      <c r="J92" s="1"/>
      <c r="K92" s="1"/>
      <c r="L92" s="1"/>
      <c r="M92" s="1"/>
      <c r="N92" s="1"/>
      <c r="O92" s="1"/>
      <c r="P92" s="1"/>
      <c r="Q92" s="1"/>
      <c r="R92" s="1"/>
      <c r="S92" s="1"/>
      <c r="T92" s="1"/>
      <c r="U92" s="1"/>
      <c r="V92" s="1"/>
      <c r="W92" s="1"/>
      <c r="X92" s="1"/>
      <c r="Y92" s="1"/>
      <c r="Z92" s="1"/>
    </row>
    <row r="93" customFormat="false" ht="15.75" hidden="false" customHeight="true" outlineLevel="0" collapsed="false">
      <c r="G93" s="1"/>
      <c r="H93" s="1"/>
      <c r="I93" s="1"/>
      <c r="J93" s="1"/>
      <c r="K93" s="1"/>
      <c r="L93" s="1"/>
      <c r="M93" s="1"/>
      <c r="N93" s="1"/>
      <c r="O93" s="1"/>
      <c r="P93" s="1"/>
      <c r="Q93" s="1"/>
      <c r="R93" s="1"/>
      <c r="S93" s="1"/>
      <c r="T93" s="1"/>
      <c r="U93" s="1"/>
      <c r="V93" s="1"/>
      <c r="W93" s="1"/>
      <c r="X93" s="1"/>
      <c r="Y93" s="1"/>
      <c r="Z93" s="1"/>
    </row>
    <row r="94" customFormat="false" ht="15.75" hidden="false" customHeight="true" outlineLevel="0" collapsed="false">
      <c r="G94" s="1"/>
      <c r="H94" s="1"/>
      <c r="I94" s="1"/>
      <c r="J94" s="1"/>
      <c r="K94" s="1"/>
      <c r="L94" s="1"/>
      <c r="M94" s="1"/>
      <c r="N94" s="1"/>
      <c r="O94" s="1"/>
      <c r="P94" s="1"/>
      <c r="Q94" s="1"/>
      <c r="R94" s="1"/>
      <c r="S94" s="1"/>
      <c r="T94" s="1"/>
      <c r="U94" s="1"/>
      <c r="V94" s="1"/>
      <c r="W94" s="1"/>
      <c r="X94" s="1"/>
      <c r="Y94" s="1"/>
      <c r="Z94" s="1"/>
    </row>
    <row r="95" customFormat="false" ht="15.75" hidden="false" customHeight="true" outlineLevel="0" collapsed="false">
      <c r="G95" s="1"/>
      <c r="H95" s="1"/>
      <c r="I95" s="1"/>
      <c r="J95" s="1"/>
      <c r="K95" s="1"/>
      <c r="L95" s="1"/>
      <c r="M95" s="1"/>
      <c r="N95" s="1"/>
      <c r="O95" s="1"/>
      <c r="P95" s="1"/>
      <c r="Q95" s="1"/>
      <c r="R95" s="1"/>
      <c r="S95" s="1"/>
      <c r="T95" s="1"/>
      <c r="U95" s="1"/>
      <c r="V95" s="1"/>
      <c r="W95" s="1"/>
      <c r="X95" s="1"/>
      <c r="Y95" s="1"/>
      <c r="Z95" s="1"/>
    </row>
    <row r="96" customFormat="false" ht="15.75" hidden="false" customHeight="true" outlineLevel="0" collapsed="false">
      <c r="G96" s="1"/>
      <c r="H96" s="1"/>
      <c r="I96" s="1"/>
      <c r="J96" s="1"/>
      <c r="K96" s="1"/>
      <c r="L96" s="1"/>
      <c r="M96" s="1"/>
      <c r="N96" s="1"/>
      <c r="O96" s="1"/>
      <c r="P96" s="1"/>
      <c r="Q96" s="1"/>
      <c r="R96" s="1"/>
      <c r="S96" s="1"/>
      <c r="T96" s="1"/>
      <c r="U96" s="1"/>
      <c r="V96" s="1"/>
      <c r="W96" s="1"/>
      <c r="X96" s="1"/>
      <c r="Y96" s="1"/>
      <c r="Z96" s="1"/>
    </row>
    <row r="97" customFormat="false" ht="15.75" hidden="false" customHeight="true" outlineLevel="0" collapsed="false">
      <c r="G97" s="1"/>
      <c r="H97" s="1"/>
      <c r="I97" s="1"/>
      <c r="J97" s="1"/>
      <c r="K97" s="1"/>
      <c r="L97" s="1"/>
      <c r="M97" s="1"/>
      <c r="N97" s="1"/>
      <c r="O97" s="1"/>
      <c r="P97" s="1"/>
      <c r="Q97" s="1"/>
      <c r="R97" s="1"/>
      <c r="S97" s="1"/>
      <c r="T97" s="1"/>
      <c r="U97" s="1"/>
      <c r="V97" s="1"/>
      <c r="W97" s="1"/>
      <c r="X97" s="1"/>
      <c r="Y97" s="1"/>
      <c r="Z97" s="1"/>
    </row>
    <row r="98" customFormat="false" ht="15.75" hidden="false" customHeight="true" outlineLevel="0" collapsed="false">
      <c r="G98" s="1"/>
      <c r="H98" s="1"/>
      <c r="I98" s="1"/>
      <c r="J98" s="1"/>
      <c r="K98" s="1"/>
      <c r="L98" s="1"/>
      <c r="M98" s="1"/>
      <c r="N98" s="1"/>
      <c r="O98" s="1"/>
      <c r="P98" s="1"/>
      <c r="Q98" s="1"/>
      <c r="R98" s="1"/>
      <c r="S98" s="1"/>
      <c r="T98" s="1"/>
      <c r="U98" s="1"/>
      <c r="V98" s="1"/>
      <c r="W98" s="1"/>
      <c r="X98" s="1"/>
      <c r="Y98" s="1"/>
      <c r="Z98" s="1"/>
    </row>
    <row r="99" customFormat="false" ht="15.75" hidden="false" customHeight="true" outlineLevel="0" collapsed="false">
      <c r="G99" s="1"/>
      <c r="H99" s="1"/>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G100" s="1"/>
      <c r="H100" s="1"/>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G101" s="1"/>
      <c r="H101" s="1"/>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G102" s="1"/>
      <c r="H102" s="1"/>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G103" s="1"/>
      <c r="H103" s="1"/>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G104" s="1"/>
      <c r="H104" s="1"/>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G105" s="1"/>
      <c r="H105" s="1"/>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G106" s="1"/>
      <c r="H106" s="1"/>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G107" s="1"/>
      <c r="H107" s="1"/>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G108" s="1"/>
      <c r="H108" s="1"/>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G109" s="1"/>
      <c r="H109" s="1"/>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G110" s="1"/>
      <c r="H110" s="1"/>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G111" s="1"/>
      <c r="H111" s="1"/>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G112" s="1"/>
      <c r="H112" s="1"/>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G113" s="1"/>
      <c r="H113" s="1"/>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G114" s="1"/>
      <c r="H114" s="1"/>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G115" s="1"/>
      <c r="H115" s="1"/>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G116" s="1"/>
      <c r="H116" s="1"/>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G117" s="1"/>
      <c r="H117" s="1"/>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G118" s="1"/>
      <c r="H118" s="1"/>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G119" s="1"/>
      <c r="H119" s="1"/>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G120" s="1"/>
      <c r="H120" s="1"/>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G121" s="1"/>
      <c r="H121" s="1"/>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G122" s="1"/>
      <c r="H122" s="1"/>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G123" s="1"/>
      <c r="H123" s="1"/>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G124" s="1"/>
      <c r="H124" s="1"/>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G125" s="1"/>
      <c r="H125" s="1"/>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G126" s="1"/>
      <c r="H126" s="1"/>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G127" s="1"/>
      <c r="H127" s="1"/>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G128" s="1"/>
      <c r="H128" s="1"/>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G129" s="1"/>
      <c r="H129" s="1"/>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G130" s="1"/>
      <c r="H130" s="1"/>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G131" s="1"/>
      <c r="H131" s="1"/>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G132" s="1"/>
      <c r="H132" s="1"/>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G133" s="1"/>
      <c r="H133" s="1"/>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G134" s="1"/>
      <c r="H134" s="1"/>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G135" s="1"/>
      <c r="H135" s="1"/>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G136" s="1"/>
      <c r="H136" s="1"/>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G137" s="1"/>
      <c r="H137" s="1"/>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G138" s="1"/>
      <c r="H138" s="1"/>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G139" s="1"/>
      <c r="H139" s="1"/>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G140" s="1"/>
      <c r="H140" s="1"/>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G141" s="1"/>
      <c r="H141" s="1"/>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G142" s="1"/>
      <c r="H142" s="1"/>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G143" s="1"/>
      <c r="H143" s="1"/>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G144" s="1"/>
      <c r="H144" s="1"/>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G145" s="1"/>
      <c r="H145" s="1"/>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G146" s="1"/>
      <c r="H146" s="1"/>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G147" s="1"/>
      <c r="H147" s="1"/>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G148" s="1"/>
      <c r="H148" s="1"/>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G149" s="1"/>
      <c r="H149" s="1"/>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G150" s="1"/>
      <c r="H150" s="1"/>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G151" s="1"/>
      <c r="H151" s="1"/>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G152" s="1"/>
      <c r="H152" s="1"/>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G153" s="1"/>
      <c r="H153" s="1"/>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G154" s="1"/>
      <c r="H154" s="1"/>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G155" s="1"/>
      <c r="H155" s="1"/>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G156" s="1"/>
      <c r="H156" s="1"/>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G157" s="1"/>
      <c r="H157" s="1"/>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G158" s="1"/>
      <c r="H158" s="1"/>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G159" s="1"/>
      <c r="H159" s="1"/>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G160" s="1"/>
      <c r="H160" s="1"/>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G161" s="1"/>
      <c r="H161" s="1"/>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G162" s="1"/>
      <c r="H162" s="1"/>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G163" s="1"/>
      <c r="H163" s="1"/>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G164" s="1"/>
      <c r="H164" s="1"/>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G165" s="1"/>
      <c r="H165" s="1"/>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G166" s="1"/>
      <c r="H166" s="1"/>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G167" s="1"/>
      <c r="H167" s="1"/>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G168" s="1"/>
      <c r="H168" s="1"/>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G169" s="1"/>
      <c r="H169" s="1"/>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G170" s="1"/>
      <c r="H170" s="1"/>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G171" s="1"/>
      <c r="H171" s="1"/>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G172" s="1"/>
      <c r="H172" s="1"/>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G173" s="1"/>
      <c r="H173" s="1"/>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G174" s="1"/>
      <c r="H174" s="1"/>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G175" s="1"/>
      <c r="H175" s="1"/>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G176" s="1"/>
      <c r="H176" s="1"/>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G177" s="1"/>
      <c r="H177" s="1"/>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G178" s="1"/>
      <c r="H178" s="1"/>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G179" s="1"/>
      <c r="H179" s="1"/>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G180" s="1"/>
      <c r="H180" s="1"/>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G181" s="1"/>
      <c r="H181" s="1"/>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G182" s="1"/>
      <c r="H182" s="1"/>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G183" s="1"/>
      <c r="H183" s="1"/>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G184" s="1"/>
      <c r="H184" s="1"/>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G185" s="1"/>
      <c r="H185" s="1"/>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G186" s="1"/>
      <c r="H186" s="1"/>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G187" s="1"/>
      <c r="H187" s="1"/>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G188" s="1"/>
      <c r="H188" s="1"/>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G189" s="1"/>
      <c r="H189" s="1"/>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G190" s="1"/>
      <c r="H190" s="1"/>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G191" s="1"/>
      <c r="H191" s="1"/>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G192" s="1"/>
      <c r="H192" s="1"/>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G193" s="1"/>
      <c r="H193" s="1"/>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G194" s="1"/>
      <c r="H194" s="1"/>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G195" s="1"/>
      <c r="H195" s="1"/>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G196" s="1"/>
      <c r="H196" s="1"/>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G197" s="1"/>
      <c r="H197" s="1"/>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G198" s="1"/>
      <c r="H198" s="1"/>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G199" s="1"/>
      <c r="H199" s="1"/>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G200" s="1"/>
      <c r="H200" s="1"/>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G201" s="1"/>
      <c r="H201" s="1"/>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G202" s="1"/>
      <c r="H202" s="1"/>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G203" s="1"/>
      <c r="H203" s="1"/>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G204" s="1"/>
      <c r="H204" s="1"/>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G205" s="1"/>
      <c r="H205" s="1"/>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G206" s="1"/>
      <c r="H206" s="1"/>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G207" s="1"/>
      <c r="H207" s="1"/>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G208" s="1"/>
      <c r="H208" s="1"/>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G209" s="1"/>
      <c r="H209" s="1"/>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G210" s="1"/>
      <c r="H210" s="1"/>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G211" s="1"/>
      <c r="H211" s="1"/>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G212" s="1"/>
      <c r="H212" s="1"/>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G213" s="1"/>
      <c r="H213" s="1"/>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G214" s="1"/>
      <c r="H214" s="1"/>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G215" s="1"/>
      <c r="H215" s="1"/>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G216" s="1"/>
      <c r="H216" s="1"/>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G217" s="1"/>
      <c r="H217" s="1"/>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G218" s="1"/>
      <c r="H218" s="1"/>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G219" s="1"/>
      <c r="H219" s="1"/>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G220" s="1"/>
      <c r="H220" s="1"/>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G221" s="1"/>
      <c r="H221" s="1"/>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G222" s="1"/>
      <c r="H222" s="1"/>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G223" s="1"/>
      <c r="H223" s="1"/>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G224" s="1"/>
      <c r="H224" s="1"/>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G225" s="1"/>
      <c r="H225" s="1"/>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G226" s="1"/>
      <c r="H226" s="1"/>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G227" s="1"/>
      <c r="H227" s="1"/>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G228" s="1"/>
      <c r="H228" s="1"/>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G229" s="1"/>
      <c r="H229" s="1"/>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G230" s="1"/>
      <c r="H230" s="1"/>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G231" s="1"/>
      <c r="H231" s="1"/>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G232" s="1"/>
      <c r="H232" s="1"/>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G233" s="1"/>
      <c r="H233" s="1"/>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G234" s="1"/>
      <c r="H234" s="1"/>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G235" s="1"/>
      <c r="H235" s="1"/>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G236" s="1"/>
      <c r="H236" s="1"/>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G237" s="1"/>
      <c r="H237" s="1"/>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G238" s="1"/>
      <c r="H238" s="1"/>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G239" s="1"/>
      <c r="H239" s="1"/>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G240" s="1"/>
      <c r="H240" s="1"/>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G241" s="1"/>
      <c r="H241" s="1"/>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G242" s="1"/>
      <c r="H242" s="1"/>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G243" s="1"/>
      <c r="H243" s="1"/>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G244" s="1"/>
      <c r="H244" s="1"/>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G245" s="1"/>
      <c r="H245" s="1"/>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G246" s="1"/>
      <c r="H246" s="1"/>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G247" s="1"/>
      <c r="H247" s="1"/>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G248" s="1"/>
      <c r="H248" s="1"/>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G249" s="1"/>
      <c r="H249" s="1"/>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G250" s="1"/>
      <c r="H250" s="1"/>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G251" s="1"/>
      <c r="H251" s="1"/>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G252" s="1"/>
      <c r="H252" s="1"/>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G253" s="1"/>
      <c r="H253" s="1"/>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G254" s="1"/>
      <c r="H254" s="1"/>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G255" s="1"/>
      <c r="H255" s="1"/>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G256" s="1"/>
      <c r="H256" s="1"/>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G257" s="1"/>
      <c r="H257" s="1"/>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G258" s="1"/>
      <c r="H258" s="1"/>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G259" s="1"/>
      <c r="H259" s="1"/>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G260" s="1"/>
      <c r="H260" s="1"/>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G261" s="1"/>
      <c r="H261" s="1"/>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G262" s="1"/>
      <c r="H262" s="1"/>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G263" s="1"/>
      <c r="H263" s="1"/>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G264" s="1"/>
      <c r="H264" s="1"/>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G265" s="1"/>
      <c r="H265" s="1"/>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G266" s="1"/>
      <c r="H266" s="1"/>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G267" s="1"/>
      <c r="H267" s="1"/>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G268" s="1"/>
      <c r="H268" s="1"/>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G269" s="1"/>
      <c r="H269" s="1"/>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G270" s="1"/>
      <c r="H270" s="1"/>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G271" s="1"/>
      <c r="H271" s="1"/>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G272" s="1"/>
      <c r="H272" s="1"/>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G273" s="1"/>
      <c r="H273" s="1"/>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G274" s="1"/>
      <c r="H274" s="1"/>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G275" s="1"/>
      <c r="H275" s="1"/>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G276" s="1"/>
      <c r="H276" s="1"/>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G277" s="1"/>
      <c r="H277" s="1"/>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G278" s="1"/>
      <c r="H278" s="1"/>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G279" s="1"/>
      <c r="H279" s="1"/>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G280" s="1"/>
      <c r="H280" s="1"/>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G281" s="1"/>
      <c r="H281" s="1"/>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G282" s="1"/>
      <c r="H282" s="1"/>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G283" s="1"/>
      <c r="H283" s="1"/>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G284" s="1"/>
      <c r="H284" s="1"/>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G285" s="1"/>
      <c r="H285" s="1"/>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G286" s="1"/>
      <c r="H286" s="1"/>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G287" s="1"/>
      <c r="H287" s="1"/>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G288" s="1"/>
      <c r="H288" s="1"/>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G289" s="1"/>
      <c r="H289" s="1"/>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G290" s="1"/>
      <c r="H290" s="1"/>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G291" s="1"/>
      <c r="H291" s="1"/>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G292" s="1"/>
      <c r="H292" s="1"/>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G293" s="1"/>
      <c r="H293" s="1"/>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G294" s="1"/>
      <c r="H294" s="1"/>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G295" s="1"/>
      <c r="H295" s="1"/>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G296" s="1"/>
      <c r="H296" s="1"/>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G297" s="1"/>
      <c r="H297" s="1"/>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G298" s="1"/>
      <c r="H298" s="1"/>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G299" s="1"/>
      <c r="H299" s="1"/>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G300" s="1"/>
      <c r="H300" s="1"/>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G301" s="1"/>
      <c r="H301" s="1"/>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G302" s="1"/>
      <c r="H302" s="1"/>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G303" s="1"/>
      <c r="H303" s="1"/>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G304" s="1"/>
      <c r="H304" s="1"/>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G305" s="1"/>
      <c r="H305" s="1"/>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G306" s="1"/>
      <c r="H306" s="1"/>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G307" s="1"/>
      <c r="H307" s="1"/>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G308" s="1"/>
      <c r="H308" s="1"/>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G309" s="1"/>
      <c r="H309" s="1"/>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G310" s="1"/>
      <c r="H310" s="1"/>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G311" s="1"/>
      <c r="H311" s="1"/>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G312" s="1"/>
      <c r="H312" s="1"/>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G313" s="1"/>
      <c r="H313" s="1"/>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G314" s="1"/>
      <c r="H314" s="1"/>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G315" s="1"/>
      <c r="H315" s="1"/>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G316" s="1"/>
      <c r="H316" s="1"/>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G317" s="1"/>
      <c r="H317" s="1"/>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G318" s="1"/>
      <c r="H318" s="1"/>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G319" s="1"/>
      <c r="H319" s="1"/>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G320" s="1"/>
      <c r="H320" s="1"/>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G321" s="1"/>
      <c r="H321" s="1"/>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G322" s="1"/>
      <c r="H322" s="1"/>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G323" s="1"/>
      <c r="H323" s="1"/>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G324" s="1"/>
      <c r="H324" s="1"/>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G325" s="1"/>
      <c r="H325" s="1"/>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G326" s="1"/>
      <c r="H326" s="1"/>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G327" s="1"/>
      <c r="H327" s="1"/>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G328" s="1"/>
      <c r="H328" s="1"/>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G329" s="1"/>
      <c r="H329" s="1"/>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G330" s="1"/>
      <c r="H330" s="1"/>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G331" s="1"/>
      <c r="H331" s="1"/>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G332" s="1"/>
      <c r="H332" s="1"/>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G333" s="1"/>
      <c r="H333" s="1"/>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G334" s="1"/>
      <c r="H334" s="1"/>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G335" s="1"/>
      <c r="H335" s="1"/>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G336" s="1"/>
      <c r="H336" s="1"/>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G337" s="1"/>
      <c r="H337" s="1"/>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G338" s="1"/>
      <c r="H338" s="1"/>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G339" s="1"/>
      <c r="H339" s="1"/>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G340" s="1"/>
      <c r="H340" s="1"/>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G341" s="1"/>
      <c r="H341" s="1"/>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G342" s="1"/>
      <c r="H342" s="1"/>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G343" s="1"/>
      <c r="H343" s="1"/>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G344" s="1"/>
      <c r="H344" s="1"/>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G345" s="1"/>
      <c r="H345" s="1"/>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G346" s="1"/>
      <c r="H346" s="1"/>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G347" s="1"/>
      <c r="H347" s="1"/>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G348" s="1"/>
      <c r="H348" s="1"/>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G349" s="1"/>
      <c r="H349" s="1"/>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G350" s="1"/>
      <c r="H350" s="1"/>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G351" s="1"/>
      <c r="H351" s="1"/>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G352" s="1"/>
      <c r="H352" s="1"/>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G353" s="1"/>
      <c r="H353" s="1"/>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G354" s="1"/>
      <c r="H354" s="1"/>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G355" s="1"/>
      <c r="H355" s="1"/>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G356" s="1"/>
      <c r="H356" s="1"/>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G357" s="1"/>
      <c r="H357" s="1"/>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G358" s="1"/>
      <c r="H358" s="1"/>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G359" s="1"/>
      <c r="H359" s="1"/>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G360" s="1"/>
      <c r="H360" s="1"/>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G361" s="1"/>
      <c r="H361" s="1"/>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G362" s="1"/>
      <c r="H362" s="1"/>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G363" s="1"/>
      <c r="H363" s="1"/>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G364" s="1"/>
      <c r="H364" s="1"/>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G365" s="1"/>
      <c r="H365" s="1"/>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G366" s="1"/>
      <c r="H366" s="1"/>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G367" s="1"/>
      <c r="H367" s="1"/>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G368" s="1"/>
      <c r="H368" s="1"/>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G369" s="1"/>
      <c r="H369" s="1"/>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G370" s="1"/>
      <c r="H370" s="1"/>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G371" s="1"/>
      <c r="H371" s="1"/>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G372" s="1"/>
      <c r="H372" s="1"/>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G373" s="1"/>
      <c r="H373" s="1"/>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G374" s="1"/>
      <c r="H374" s="1"/>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G375" s="1"/>
      <c r="H375" s="1"/>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G376" s="1"/>
      <c r="H376" s="1"/>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G377" s="1"/>
      <c r="H377" s="1"/>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G378" s="1"/>
      <c r="H378" s="1"/>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G379" s="1"/>
      <c r="H379" s="1"/>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G380" s="1"/>
      <c r="H380" s="1"/>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G381" s="1"/>
      <c r="H381" s="1"/>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G382" s="1"/>
      <c r="H382" s="1"/>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G383" s="1"/>
      <c r="H383" s="1"/>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G384" s="1"/>
      <c r="H384" s="1"/>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G385" s="1"/>
      <c r="H385" s="1"/>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G386" s="1"/>
      <c r="H386" s="1"/>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G387" s="1"/>
      <c r="H387" s="1"/>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G388" s="1"/>
      <c r="H388" s="1"/>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G389" s="1"/>
      <c r="H389" s="1"/>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G390" s="1"/>
      <c r="H390" s="1"/>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G391" s="1"/>
      <c r="H391" s="1"/>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G392" s="1"/>
      <c r="H392" s="1"/>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G393" s="1"/>
      <c r="H393" s="1"/>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G394" s="1"/>
      <c r="H394" s="1"/>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G395" s="1"/>
      <c r="H395" s="1"/>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G396" s="1"/>
      <c r="H396" s="1"/>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G397" s="1"/>
      <c r="H397" s="1"/>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G398" s="1"/>
      <c r="H398" s="1"/>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G399" s="1"/>
      <c r="H399" s="1"/>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G400" s="1"/>
      <c r="H400" s="1"/>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G401" s="1"/>
      <c r="H401" s="1"/>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G402" s="1"/>
      <c r="H402" s="1"/>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G403" s="1"/>
      <c r="H403" s="1"/>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G404" s="1"/>
      <c r="H404" s="1"/>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G405" s="1"/>
      <c r="H405" s="1"/>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G406" s="1"/>
      <c r="H406" s="1"/>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G407" s="1"/>
      <c r="H407" s="1"/>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G408" s="1"/>
      <c r="H408" s="1"/>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G409" s="1"/>
      <c r="H409" s="1"/>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G410" s="1"/>
      <c r="H410" s="1"/>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G411" s="1"/>
      <c r="H411" s="1"/>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G412" s="1"/>
      <c r="H412" s="1"/>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G413" s="1"/>
      <c r="H413" s="1"/>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G414" s="1"/>
      <c r="H414" s="1"/>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G415" s="1"/>
      <c r="H415" s="1"/>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G416" s="1"/>
      <c r="H416" s="1"/>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G417" s="1"/>
      <c r="H417" s="1"/>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G418" s="1"/>
      <c r="H418" s="1"/>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G419" s="1"/>
      <c r="H419" s="1"/>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G420" s="1"/>
      <c r="H420" s="1"/>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G421" s="1"/>
      <c r="H421" s="1"/>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G422" s="1"/>
      <c r="H422" s="1"/>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G423" s="1"/>
      <c r="H423" s="1"/>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G424" s="1"/>
      <c r="H424" s="1"/>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G425" s="1"/>
      <c r="H425" s="1"/>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G426" s="1"/>
      <c r="H426" s="1"/>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G427" s="1"/>
      <c r="H427" s="1"/>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G428" s="1"/>
      <c r="H428" s="1"/>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G429" s="1"/>
      <c r="H429" s="1"/>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G430" s="1"/>
      <c r="H430" s="1"/>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G431" s="1"/>
      <c r="H431" s="1"/>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G432" s="1"/>
      <c r="H432" s="1"/>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G433" s="1"/>
      <c r="H433" s="1"/>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G434" s="1"/>
      <c r="H434" s="1"/>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G435" s="1"/>
      <c r="H435" s="1"/>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G436" s="1"/>
      <c r="H436" s="1"/>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G437" s="1"/>
      <c r="H437" s="1"/>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G438" s="1"/>
      <c r="H438" s="1"/>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G439" s="1"/>
      <c r="H439" s="1"/>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G440" s="1"/>
      <c r="H440" s="1"/>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G441" s="1"/>
      <c r="H441" s="1"/>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G442" s="1"/>
      <c r="H442" s="1"/>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G443" s="1"/>
      <c r="H443" s="1"/>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G444" s="1"/>
      <c r="H444" s="1"/>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G445" s="1"/>
      <c r="H445" s="1"/>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G446" s="1"/>
      <c r="H446" s="1"/>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G447" s="1"/>
      <c r="H447" s="1"/>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G448" s="1"/>
      <c r="H448" s="1"/>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G449" s="1"/>
      <c r="H449" s="1"/>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G450" s="1"/>
      <c r="H450" s="1"/>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G451" s="1"/>
      <c r="H451" s="1"/>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G452" s="1"/>
      <c r="H452" s="1"/>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G453" s="1"/>
      <c r="H453" s="1"/>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G454" s="1"/>
      <c r="H454" s="1"/>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G455" s="1"/>
      <c r="H455" s="1"/>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G456" s="1"/>
      <c r="H456" s="1"/>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G457" s="1"/>
      <c r="H457" s="1"/>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G458" s="1"/>
      <c r="H458" s="1"/>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G459" s="1"/>
      <c r="H459" s="1"/>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G460" s="1"/>
      <c r="H460" s="1"/>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G461" s="1"/>
      <c r="H461" s="1"/>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G462" s="1"/>
      <c r="H462" s="1"/>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G463" s="1"/>
      <c r="H463" s="1"/>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G464" s="1"/>
      <c r="H464" s="1"/>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G465" s="1"/>
      <c r="H465" s="1"/>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G466" s="1"/>
      <c r="H466" s="1"/>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G467" s="1"/>
      <c r="H467" s="1"/>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G468" s="1"/>
      <c r="H468" s="1"/>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G469" s="1"/>
      <c r="H469" s="1"/>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G470" s="1"/>
      <c r="H470" s="1"/>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G471" s="1"/>
      <c r="H471" s="1"/>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G472" s="1"/>
      <c r="H472" s="1"/>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G473" s="1"/>
      <c r="H473" s="1"/>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G474" s="1"/>
      <c r="H474" s="1"/>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G475" s="1"/>
      <c r="H475" s="1"/>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G476" s="1"/>
      <c r="H476" s="1"/>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G477" s="1"/>
      <c r="H477" s="1"/>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G478" s="1"/>
      <c r="H478" s="1"/>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G479" s="1"/>
      <c r="H479" s="1"/>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G480" s="1"/>
      <c r="H480" s="1"/>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G481" s="1"/>
      <c r="H481" s="1"/>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G482" s="1"/>
      <c r="H482" s="1"/>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G483" s="1"/>
      <c r="H483" s="1"/>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G484" s="1"/>
      <c r="H484" s="1"/>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G485" s="1"/>
      <c r="H485" s="1"/>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G486" s="1"/>
      <c r="H486" s="1"/>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G487" s="1"/>
      <c r="H487" s="1"/>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G488" s="1"/>
      <c r="H488" s="1"/>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G489" s="1"/>
      <c r="H489" s="1"/>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G490" s="1"/>
      <c r="H490" s="1"/>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G491" s="1"/>
      <c r="H491" s="1"/>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G492" s="1"/>
      <c r="H492" s="1"/>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G493" s="1"/>
      <c r="H493" s="1"/>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G494" s="1"/>
      <c r="H494" s="1"/>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G495" s="1"/>
      <c r="H495" s="1"/>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G496" s="1"/>
      <c r="H496" s="1"/>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G497" s="1"/>
      <c r="H497" s="1"/>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G498" s="1"/>
      <c r="H498" s="1"/>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G499" s="1"/>
      <c r="H499" s="1"/>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G500" s="1"/>
      <c r="H500" s="1"/>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G501" s="1"/>
      <c r="H501" s="1"/>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G502" s="1"/>
      <c r="H502" s="1"/>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G503" s="1"/>
      <c r="H503" s="1"/>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G504" s="1"/>
      <c r="H504" s="1"/>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G505" s="1"/>
      <c r="H505" s="1"/>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G506" s="1"/>
      <c r="H506" s="1"/>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G507" s="1"/>
      <c r="H507" s="1"/>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G508" s="1"/>
      <c r="H508" s="1"/>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G509" s="1"/>
      <c r="H509" s="1"/>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G510" s="1"/>
      <c r="H510" s="1"/>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G511" s="1"/>
      <c r="H511" s="1"/>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G512" s="1"/>
      <c r="H512" s="1"/>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G513" s="1"/>
      <c r="H513" s="1"/>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G514" s="1"/>
      <c r="H514" s="1"/>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G515" s="1"/>
      <c r="H515" s="1"/>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G516" s="1"/>
      <c r="H516" s="1"/>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G517" s="1"/>
      <c r="H517" s="1"/>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G518" s="1"/>
      <c r="H518" s="1"/>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G519" s="1"/>
      <c r="H519" s="1"/>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G520" s="1"/>
      <c r="H520" s="1"/>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G521" s="1"/>
      <c r="H521" s="1"/>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G522" s="1"/>
      <c r="H522" s="1"/>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G523" s="1"/>
      <c r="H523" s="1"/>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G524" s="1"/>
      <c r="H524" s="1"/>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G525" s="1"/>
      <c r="H525" s="1"/>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G526" s="1"/>
      <c r="H526" s="1"/>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G527" s="1"/>
      <c r="H527" s="1"/>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G528" s="1"/>
      <c r="H528" s="1"/>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G529" s="1"/>
      <c r="H529" s="1"/>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G530" s="1"/>
      <c r="H530" s="1"/>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G531" s="1"/>
      <c r="H531" s="1"/>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G532" s="1"/>
      <c r="H532" s="1"/>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G533" s="1"/>
      <c r="H533" s="1"/>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G534" s="1"/>
      <c r="H534" s="1"/>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G535" s="1"/>
      <c r="H535" s="1"/>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G536" s="1"/>
      <c r="H536" s="1"/>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G537" s="1"/>
      <c r="H537" s="1"/>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G538" s="1"/>
      <c r="H538" s="1"/>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G539" s="1"/>
      <c r="H539" s="1"/>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G540" s="1"/>
      <c r="H540" s="1"/>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G541" s="1"/>
      <c r="H541" s="1"/>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G542" s="1"/>
      <c r="H542" s="1"/>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G543" s="1"/>
      <c r="H543" s="1"/>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G544" s="1"/>
      <c r="H544" s="1"/>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G545" s="1"/>
      <c r="H545" s="1"/>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G546" s="1"/>
      <c r="H546" s="1"/>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G547" s="1"/>
      <c r="H547" s="1"/>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G548" s="1"/>
      <c r="H548" s="1"/>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G549" s="1"/>
      <c r="H549" s="1"/>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G550" s="1"/>
      <c r="H550" s="1"/>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G551" s="1"/>
      <c r="H551" s="1"/>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G552" s="1"/>
      <c r="H552" s="1"/>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G553" s="1"/>
      <c r="H553" s="1"/>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G554" s="1"/>
      <c r="H554" s="1"/>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G555" s="1"/>
      <c r="H555" s="1"/>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G556" s="1"/>
      <c r="H556" s="1"/>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G557" s="1"/>
      <c r="H557" s="1"/>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G558" s="1"/>
      <c r="H558" s="1"/>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G559" s="1"/>
      <c r="H559" s="1"/>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G560" s="1"/>
      <c r="H560" s="1"/>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G561" s="1"/>
      <c r="H561" s="1"/>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G562" s="1"/>
      <c r="H562" s="1"/>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G563" s="1"/>
      <c r="H563" s="1"/>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G564" s="1"/>
      <c r="H564" s="1"/>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G565" s="1"/>
      <c r="H565" s="1"/>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G566" s="1"/>
      <c r="H566" s="1"/>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G567" s="1"/>
      <c r="H567" s="1"/>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G568" s="1"/>
      <c r="H568" s="1"/>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G569" s="1"/>
      <c r="H569" s="1"/>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G570" s="1"/>
      <c r="H570" s="1"/>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G571" s="1"/>
      <c r="H571" s="1"/>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G572" s="1"/>
      <c r="H572" s="1"/>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G573" s="1"/>
      <c r="H573" s="1"/>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G574" s="1"/>
      <c r="H574" s="1"/>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G575" s="1"/>
      <c r="H575" s="1"/>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G576" s="1"/>
      <c r="H576" s="1"/>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G577" s="1"/>
      <c r="H577" s="1"/>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G578" s="1"/>
      <c r="H578" s="1"/>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G579" s="1"/>
      <c r="H579" s="1"/>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G580" s="1"/>
      <c r="H580" s="1"/>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G581" s="1"/>
      <c r="H581" s="1"/>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G582" s="1"/>
      <c r="H582" s="1"/>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G583" s="1"/>
      <c r="H583" s="1"/>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G584" s="1"/>
      <c r="H584" s="1"/>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G585" s="1"/>
      <c r="H585" s="1"/>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G586" s="1"/>
      <c r="H586" s="1"/>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G587" s="1"/>
      <c r="H587" s="1"/>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G588" s="1"/>
      <c r="H588" s="1"/>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G589" s="1"/>
      <c r="H589" s="1"/>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G590" s="1"/>
      <c r="H590" s="1"/>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G591" s="1"/>
      <c r="H591" s="1"/>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G592" s="1"/>
      <c r="H592" s="1"/>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G593" s="1"/>
      <c r="H593" s="1"/>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G594" s="1"/>
      <c r="H594" s="1"/>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G595" s="1"/>
      <c r="H595" s="1"/>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G596" s="1"/>
      <c r="H596" s="1"/>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G597" s="1"/>
      <c r="H597" s="1"/>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G598" s="1"/>
      <c r="H598" s="1"/>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G599" s="1"/>
      <c r="H599" s="1"/>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G600" s="1"/>
      <c r="H600" s="1"/>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G601" s="1"/>
      <c r="H601" s="1"/>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G602" s="1"/>
      <c r="H602" s="1"/>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G603" s="1"/>
      <c r="H603" s="1"/>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G604" s="1"/>
      <c r="H604" s="1"/>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G605" s="1"/>
      <c r="H605" s="1"/>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G606" s="1"/>
      <c r="H606" s="1"/>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G607" s="1"/>
      <c r="H607" s="1"/>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G608" s="1"/>
      <c r="H608" s="1"/>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G609" s="1"/>
      <c r="H609" s="1"/>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G610" s="1"/>
      <c r="H610" s="1"/>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G611" s="1"/>
      <c r="H611" s="1"/>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G612" s="1"/>
      <c r="H612" s="1"/>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G613" s="1"/>
      <c r="H613" s="1"/>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G614" s="1"/>
      <c r="H614" s="1"/>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G615" s="1"/>
      <c r="H615" s="1"/>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G616" s="1"/>
      <c r="H616" s="1"/>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G617" s="1"/>
      <c r="H617" s="1"/>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G618" s="1"/>
      <c r="H618" s="1"/>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G619" s="1"/>
      <c r="H619" s="1"/>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G620" s="1"/>
      <c r="H620" s="1"/>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G621" s="1"/>
      <c r="H621" s="1"/>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G622" s="1"/>
      <c r="H622" s="1"/>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G623" s="1"/>
      <c r="H623" s="1"/>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G624" s="1"/>
      <c r="H624" s="1"/>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G625" s="1"/>
      <c r="H625" s="1"/>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G626" s="1"/>
      <c r="H626" s="1"/>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G627" s="1"/>
      <c r="H627" s="1"/>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G628" s="1"/>
      <c r="H628" s="1"/>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G629" s="1"/>
      <c r="H629" s="1"/>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G630" s="1"/>
      <c r="H630" s="1"/>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G631" s="1"/>
      <c r="H631" s="1"/>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G632" s="1"/>
      <c r="H632" s="1"/>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G633" s="1"/>
      <c r="H633" s="1"/>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G634" s="1"/>
      <c r="H634" s="1"/>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G635" s="1"/>
      <c r="H635" s="1"/>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G636" s="1"/>
      <c r="H636" s="1"/>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G637" s="1"/>
      <c r="H637" s="1"/>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G638" s="1"/>
      <c r="H638" s="1"/>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G639" s="1"/>
      <c r="H639" s="1"/>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G640" s="1"/>
      <c r="H640" s="1"/>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G641" s="1"/>
      <c r="H641" s="1"/>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G642" s="1"/>
      <c r="H642" s="1"/>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G643" s="1"/>
      <c r="H643" s="1"/>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G644" s="1"/>
      <c r="H644" s="1"/>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G645" s="1"/>
      <c r="H645" s="1"/>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G646" s="1"/>
      <c r="H646" s="1"/>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G647" s="1"/>
      <c r="H647" s="1"/>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G648" s="1"/>
      <c r="H648" s="1"/>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G649" s="1"/>
      <c r="H649" s="1"/>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G650" s="1"/>
      <c r="H650" s="1"/>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G651" s="1"/>
      <c r="H651" s="1"/>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G652" s="1"/>
      <c r="H652" s="1"/>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G653" s="1"/>
      <c r="H653" s="1"/>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G654" s="1"/>
      <c r="H654" s="1"/>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G655" s="1"/>
      <c r="H655" s="1"/>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G656" s="1"/>
      <c r="H656" s="1"/>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G657" s="1"/>
      <c r="H657" s="1"/>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G658" s="1"/>
      <c r="H658" s="1"/>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G659" s="1"/>
      <c r="H659" s="1"/>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G660" s="1"/>
      <c r="H660" s="1"/>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G661" s="1"/>
      <c r="H661" s="1"/>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G662" s="1"/>
      <c r="H662" s="1"/>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G663" s="1"/>
      <c r="H663" s="1"/>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G664" s="1"/>
      <c r="H664" s="1"/>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G665" s="1"/>
      <c r="H665" s="1"/>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G666" s="1"/>
      <c r="H666" s="1"/>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G667" s="1"/>
      <c r="H667" s="1"/>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G668" s="1"/>
      <c r="H668" s="1"/>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G669" s="1"/>
      <c r="H669" s="1"/>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G670" s="1"/>
      <c r="H670" s="1"/>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G671" s="1"/>
      <c r="H671" s="1"/>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G672" s="1"/>
      <c r="H672" s="1"/>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G673" s="1"/>
      <c r="H673" s="1"/>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G674" s="1"/>
      <c r="H674" s="1"/>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G675" s="1"/>
      <c r="H675" s="1"/>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G676" s="1"/>
      <c r="H676" s="1"/>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G677" s="1"/>
      <c r="H677" s="1"/>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G678" s="1"/>
      <c r="H678" s="1"/>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G679" s="1"/>
      <c r="H679" s="1"/>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G680" s="1"/>
      <c r="H680" s="1"/>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G681" s="1"/>
      <c r="H681" s="1"/>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G682" s="1"/>
      <c r="H682" s="1"/>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G683" s="1"/>
      <c r="H683" s="1"/>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G684" s="1"/>
      <c r="H684" s="1"/>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G685" s="1"/>
      <c r="H685" s="1"/>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G686" s="1"/>
      <c r="H686" s="1"/>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G687" s="1"/>
      <c r="H687" s="1"/>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G688" s="1"/>
      <c r="H688" s="1"/>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G689" s="1"/>
      <c r="H689" s="1"/>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G690" s="1"/>
      <c r="H690" s="1"/>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G691" s="1"/>
      <c r="H691" s="1"/>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G692" s="1"/>
      <c r="H692" s="1"/>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G693" s="1"/>
      <c r="H693" s="1"/>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G694" s="1"/>
      <c r="H694" s="1"/>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G695" s="1"/>
      <c r="H695" s="1"/>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G696" s="1"/>
      <c r="H696" s="1"/>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G697" s="1"/>
      <c r="H697" s="1"/>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G698" s="1"/>
      <c r="H698" s="1"/>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G699" s="1"/>
      <c r="H699" s="1"/>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G700" s="1"/>
      <c r="H700" s="1"/>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G701" s="1"/>
      <c r="H701" s="1"/>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G702" s="1"/>
      <c r="H702" s="1"/>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G703" s="1"/>
      <c r="H703" s="1"/>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G704" s="1"/>
      <c r="H704" s="1"/>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G705" s="1"/>
      <c r="H705" s="1"/>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G706" s="1"/>
      <c r="H706" s="1"/>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G707" s="1"/>
      <c r="H707" s="1"/>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G708" s="1"/>
      <c r="H708" s="1"/>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G709" s="1"/>
      <c r="H709" s="1"/>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G710" s="1"/>
      <c r="H710" s="1"/>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G711" s="1"/>
      <c r="H711" s="1"/>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G712" s="1"/>
      <c r="H712" s="1"/>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G713" s="1"/>
      <c r="H713" s="1"/>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G714" s="1"/>
      <c r="H714" s="1"/>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G715" s="1"/>
      <c r="H715" s="1"/>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G716" s="1"/>
      <c r="H716" s="1"/>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G717" s="1"/>
      <c r="H717" s="1"/>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G718" s="1"/>
      <c r="H718" s="1"/>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G719" s="1"/>
      <c r="H719" s="1"/>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G720" s="1"/>
      <c r="H720" s="1"/>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G721" s="1"/>
      <c r="H721" s="1"/>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G722" s="1"/>
      <c r="H722" s="1"/>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G723" s="1"/>
      <c r="H723" s="1"/>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G724" s="1"/>
      <c r="H724" s="1"/>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G725" s="1"/>
      <c r="H725" s="1"/>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G726" s="1"/>
      <c r="H726" s="1"/>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G727" s="1"/>
      <c r="H727" s="1"/>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G728" s="1"/>
      <c r="H728" s="1"/>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G729" s="1"/>
      <c r="H729" s="1"/>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G730" s="1"/>
      <c r="H730" s="1"/>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G731" s="1"/>
      <c r="H731" s="1"/>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G732" s="1"/>
      <c r="H732" s="1"/>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G733" s="1"/>
      <c r="H733" s="1"/>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G734" s="1"/>
      <c r="H734" s="1"/>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G735" s="1"/>
      <c r="H735" s="1"/>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G736" s="1"/>
      <c r="H736" s="1"/>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G737" s="1"/>
      <c r="H737" s="1"/>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G738" s="1"/>
      <c r="H738" s="1"/>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G739" s="1"/>
      <c r="H739" s="1"/>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G740" s="1"/>
      <c r="H740" s="1"/>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G741" s="1"/>
      <c r="H741" s="1"/>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G742" s="1"/>
      <c r="H742" s="1"/>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G743" s="1"/>
      <c r="H743" s="1"/>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G744" s="1"/>
      <c r="H744" s="1"/>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G745" s="1"/>
      <c r="H745" s="1"/>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G746" s="1"/>
      <c r="H746" s="1"/>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G747" s="1"/>
      <c r="H747" s="1"/>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G748" s="1"/>
      <c r="H748" s="1"/>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G749" s="1"/>
      <c r="H749" s="1"/>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G750" s="1"/>
      <c r="H750" s="1"/>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G751" s="1"/>
      <c r="H751" s="1"/>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G752" s="1"/>
      <c r="H752" s="1"/>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G753" s="1"/>
      <c r="H753" s="1"/>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G754" s="1"/>
      <c r="H754" s="1"/>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G755" s="1"/>
      <c r="H755" s="1"/>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G756" s="1"/>
      <c r="H756" s="1"/>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G757" s="1"/>
      <c r="H757" s="1"/>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G758" s="1"/>
      <c r="H758" s="1"/>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G759" s="1"/>
      <c r="H759" s="1"/>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G760" s="1"/>
      <c r="H760" s="1"/>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G761" s="1"/>
      <c r="H761" s="1"/>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G762" s="1"/>
      <c r="H762" s="1"/>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G763" s="1"/>
      <c r="H763" s="1"/>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G764" s="1"/>
      <c r="H764" s="1"/>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G765" s="1"/>
      <c r="H765" s="1"/>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G766" s="1"/>
      <c r="H766" s="1"/>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G767" s="1"/>
      <c r="H767" s="1"/>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G768" s="1"/>
      <c r="H768" s="1"/>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G769" s="1"/>
      <c r="H769" s="1"/>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G770" s="1"/>
      <c r="H770" s="1"/>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G771" s="1"/>
      <c r="H771" s="1"/>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G772" s="1"/>
      <c r="H772" s="1"/>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G773" s="1"/>
      <c r="H773" s="1"/>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G774" s="1"/>
      <c r="H774" s="1"/>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G775" s="1"/>
      <c r="H775" s="1"/>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G776" s="1"/>
      <c r="H776" s="1"/>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G777" s="1"/>
      <c r="H777" s="1"/>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G778" s="1"/>
      <c r="H778" s="1"/>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G779" s="1"/>
      <c r="H779" s="1"/>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G780" s="1"/>
      <c r="H780" s="1"/>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G781" s="1"/>
      <c r="H781" s="1"/>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G782" s="1"/>
      <c r="H782" s="1"/>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G783" s="1"/>
      <c r="H783" s="1"/>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G784" s="1"/>
      <c r="H784" s="1"/>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G785" s="1"/>
      <c r="H785" s="1"/>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G786" s="1"/>
      <c r="H786" s="1"/>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G787" s="1"/>
      <c r="H787" s="1"/>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G788" s="1"/>
      <c r="H788" s="1"/>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G789" s="1"/>
      <c r="H789" s="1"/>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G790" s="1"/>
      <c r="H790" s="1"/>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G791" s="1"/>
      <c r="H791" s="1"/>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G792" s="1"/>
      <c r="H792" s="1"/>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G793" s="1"/>
      <c r="H793" s="1"/>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G794" s="1"/>
      <c r="H794" s="1"/>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G795" s="1"/>
      <c r="H795" s="1"/>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G796" s="1"/>
      <c r="H796" s="1"/>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G797" s="1"/>
      <c r="H797" s="1"/>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G798" s="1"/>
      <c r="H798" s="1"/>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G799" s="1"/>
      <c r="H799" s="1"/>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G800" s="1"/>
      <c r="H800" s="1"/>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G801" s="1"/>
      <c r="H801" s="1"/>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G802" s="1"/>
      <c r="H802" s="1"/>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G803" s="1"/>
      <c r="H803" s="1"/>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G804" s="1"/>
      <c r="H804" s="1"/>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G805" s="1"/>
      <c r="H805" s="1"/>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G806" s="1"/>
      <c r="H806" s="1"/>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G807" s="1"/>
      <c r="H807" s="1"/>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G808" s="1"/>
      <c r="H808" s="1"/>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G809" s="1"/>
      <c r="H809" s="1"/>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G810" s="1"/>
      <c r="H810" s="1"/>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G811" s="1"/>
      <c r="H811" s="1"/>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G812" s="1"/>
      <c r="H812" s="1"/>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G813" s="1"/>
      <c r="H813" s="1"/>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G814" s="1"/>
      <c r="H814" s="1"/>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G815" s="1"/>
      <c r="H815" s="1"/>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G816" s="1"/>
      <c r="H816" s="1"/>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G817" s="1"/>
      <c r="H817" s="1"/>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G818" s="1"/>
      <c r="H818" s="1"/>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G819" s="1"/>
      <c r="H819" s="1"/>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G820" s="1"/>
      <c r="H820" s="1"/>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G821" s="1"/>
      <c r="H821" s="1"/>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G822" s="1"/>
      <c r="H822" s="1"/>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G823" s="1"/>
      <c r="H823" s="1"/>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G824" s="1"/>
      <c r="H824" s="1"/>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G825" s="1"/>
      <c r="H825" s="1"/>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G826" s="1"/>
      <c r="H826" s="1"/>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G827" s="1"/>
      <c r="H827" s="1"/>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G828" s="1"/>
      <c r="H828" s="1"/>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G829" s="1"/>
      <c r="H829" s="1"/>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G830" s="1"/>
      <c r="H830" s="1"/>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G831" s="1"/>
      <c r="H831" s="1"/>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G832" s="1"/>
      <c r="H832" s="1"/>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G833" s="1"/>
      <c r="H833" s="1"/>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G834" s="1"/>
      <c r="H834" s="1"/>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G835" s="1"/>
      <c r="H835" s="1"/>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G836" s="1"/>
      <c r="H836" s="1"/>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G837" s="1"/>
      <c r="H837" s="1"/>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G838" s="1"/>
      <c r="H838" s="1"/>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G839" s="1"/>
      <c r="H839" s="1"/>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G840" s="1"/>
      <c r="H840" s="1"/>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G841" s="1"/>
      <c r="H841" s="1"/>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G842" s="1"/>
      <c r="H842" s="1"/>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G843" s="1"/>
      <c r="H843" s="1"/>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G844" s="1"/>
      <c r="H844" s="1"/>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G845" s="1"/>
      <c r="H845" s="1"/>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G846" s="1"/>
      <c r="H846" s="1"/>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G847" s="1"/>
      <c r="H847" s="1"/>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G848" s="1"/>
      <c r="H848" s="1"/>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G849" s="1"/>
      <c r="H849" s="1"/>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G850" s="1"/>
      <c r="H850" s="1"/>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G851" s="1"/>
      <c r="H851" s="1"/>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G852" s="1"/>
      <c r="H852" s="1"/>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G853" s="1"/>
      <c r="H853" s="1"/>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G854" s="1"/>
      <c r="H854" s="1"/>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G855" s="1"/>
      <c r="H855" s="1"/>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G856" s="1"/>
      <c r="H856" s="1"/>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G857" s="1"/>
      <c r="H857" s="1"/>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G858" s="1"/>
      <c r="H858" s="1"/>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G859" s="1"/>
      <c r="H859" s="1"/>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G860" s="1"/>
      <c r="H860" s="1"/>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G861" s="1"/>
      <c r="H861" s="1"/>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G862" s="1"/>
      <c r="H862" s="1"/>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G863" s="1"/>
      <c r="H863" s="1"/>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G864" s="1"/>
      <c r="H864" s="1"/>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G865" s="1"/>
      <c r="H865" s="1"/>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G866" s="1"/>
      <c r="H866" s="1"/>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G867" s="1"/>
      <c r="H867" s="1"/>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G868" s="1"/>
      <c r="H868" s="1"/>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G869" s="1"/>
      <c r="H869" s="1"/>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G870" s="1"/>
      <c r="H870" s="1"/>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G871" s="1"/>
      <c r="H871" s="1"/>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G872" s="1"/>
      <c r="H872" s="1"/>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G873" s="1"/>
      <c r="H873" s="1"/>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G874" s="1"/>
      <c r="H874" s="1"/>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G875" s="1"/>
      <c r="H875" s="1"/>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G876" s="1"/>
      <c r="H876" s="1"/>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G877" s="1"/>
      <c r="H877" s="1"/>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G878" s="1"/>
      <c r="H878" s="1"/>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G879" s="1"/>
      <c r="H879" s="1"/>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G880" s="1"/>
      <c r="H880" s="1"/>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G881" s="1"/>
      <c r="H881" s="1"/>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G882" s="1"/>
      <c r="H882" s="1"/>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G883" s="1"/>
      <c r="H883" s="1"/>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G884" s="1"/>
      <c r="H884" s="1"/>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G885" s="1"/>
      <c r="H885" s="1"/>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G886" s="1"/>
      <c r="H886" s="1"/>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G887" s="1"/>
      <c r="H887" s="1"/>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G888" s="1"/>
      <c r="H888" s="1"/>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G889" s="1"/>
      <c r="H889" s="1"/>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G890" s="1"/>
      <c r="H890" s="1"/>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G891" s="1"/>
      <c r="H891" s="1"/>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G892" s="1"/>
      <c r="H892" s="1"/>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G893" s="1"/>
      <c r="H893" s="1"/>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G894" s="1"/>
      <c r="H894" s="1"/>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G895" s="1"/>
      <c r="H895" s="1"/>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G896" s="1"/>
      <c r="H896" s="1"/>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G897" s="1"/>
      <c r="H897" s="1"/>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G898" s="1"/>
      <c r="H898" s="1"/>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G899" s="1"/>
      <c r="H899" s="1"/>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G900" s="1"/>
      <c r="H900" s="1"/>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G901" s="1"/>
      <c r="H901" s="1"/>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G902" s="1"/>
      <c r="H902" s="1"/>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G903" s="1"/>
      <c r="H903" s="1"/>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G904" s="1"/>
      <c r="H904" s="1"/>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G905" s="1"/>
      <c r="H905" s="1"/>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G906" s="1"/>
      <c r="H906" s="1"/>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G907" s="1"/>
      <c r="H907" s="1"/>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G908" s="1"/>
      <c r="H908" s="1"/>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G909" s="1"/>
      <c r="H909" s="1"/>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G910" s="1"/>
      <c r="H910" s="1"/>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G911" s="1"/>
      <c r="H911" s="1"/>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G912" s="1"/>
      <c r="H912" s="1"/>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G913" s="1"/>
      <c r="H913" s="1"/>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G914" s="1"/>
      <c r="H914" s="1"/>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G915" s="1"/>
      <c r="H915" s="1"/>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G916" s="1"/>
      <c r="H916" s="1"/>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G917" s="1"/>
      <c r="H917" s="1"/>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G918" s="1"/>
      <c r="H918" s="1"/>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G919" s="1"/>
      <c r="H919" s="1"/>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G920" s="1"/>
      <c r="H920" s="1"/>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G921" s="1"/>
      <c r="H921" s="1"/>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G922" s="1"/>
      <c r="H922" s="1"/>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G923" s="1"/>
      <c r="H923" s="1"/>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G924" s="1"/>
      <c r="H924" s="1"/>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G925" s="1"/>
      <c r="H925" s="1"/>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G926" s="1"/>
      <c r="H926" s="1"/>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G927" s="1"/>
      <c r="H927" s="1"/>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G928" s="1"/>
      <c r="H928" s="1"/>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G929" s="1"/>
      <c r="H929" s="1"/>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G930" s="1"/>
      <c r="H930" s="1"/>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G931" s="1"/>
      <c r="H931" s="1"/>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G932" s="1"/>
      <c r="H932" s="1"/>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G933" s="1"/>
      <c r="H933" s="1"/>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G934" s="1"/>
      <c r="H934" s="1"/>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G935" s="1"/>
      <c r="H935" s="1"/>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G936" s="1"/>
      <c r="H936" s="1"/>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G937" s="1"/>
      <c r="H937" s="1"/>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G938" s="1"/>
      <c r="H938" s="1"/>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G939" s="1"/>
      <c r="H939" s="1"/>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G940" s="1"/>
      <c r="H940" s="1"/>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G941" s="1"/>
      <c r="H941" s="1"/>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G942" s="1"/>
      <c r="H942" s="1"/>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G943" s="1"/>
      <c r="H943" s="1"/>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G944" s="1"/>
      <c r="H944" s="1"/>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G945" s="1"/>
      <c r="H945" s="1"/>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G946" s="1"/>
      <c r="H946" s="1"/>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G947" s="1"/>
      <c r="H947" s="1"/>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G948" s="1"/>
      <c r="H948" s="1"/>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G949" s="1"/>
      <c r="H949" s="1"/>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G950" s="1"/>
      <c r="H950" s="1"/>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G951" s="1"/>
      <c r="H951" s="1"/>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G952" s="1"/>
      <c r="H952" s="1"/>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G953" s="1"/>
      <c r="H953" s="1"/>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G954" s="1"/>
      <c r="H954" s="1"/>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G955" s="1"/>
      <c r="H955" s="1"/>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G956" s="1"/>
      <c r="H956" s="1"/>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G957" s="1"/>
      <c r="H957" s="1"/>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G958" s="1"/>
      <c r="H958" s="1"/>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G959" s="1"/>
      <c r="H959" s="1"/>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G960" s="1"/>
      <c r="H960" s="1"/>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G961" s="1"/>
      <c r="H961" s="1"/>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G962" s="1"/>
      <c r="H962" s="1"/>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G963" s="1"/>
      <c r="H963" s="1"/>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G964" s="1"/>
      <c r="H964" s="1"/>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G965" s="1"/>
      <c r="H965" s="1"/>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G966" s="1"/>
      <c r="H966" s="1"/>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G967" s="1"/>
      <c r="H967" s="1"/>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G968" s="1"/>
      <c r="H968" s="1"/>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G969" s="1"/>
      <c r="H969" s="1"/>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G970" s="1"/>
      <c r="H970" s="1"/>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G971" s="1"/>
      <c r="H971" s="1"/>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G972" s="1"/>
      <c r="H972" s="1"/>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G973" s="1"/>
      <c r="H973" s="1"/>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G974" s="1"/>
      <c r="H974" s="1"/>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G975" s="1"/>
      <c r="H975" s="1"/>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G976" s="1"/>
      <c r="H976" s="1"/>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G977" s="1"/>
      <c r="H977" s="1"/>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G978" s="1"/>
      <c r="H978" s="1"/>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G979" s="1"/>
      <c r="H979" s="1"/>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G980" s="1"/>
      <c r="H980" s="1"/>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G981" s="1"/>
      <c r="H981" s="1"/>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G982" s="1"/>
      <c r="H982" s="1"/>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G983" s="1"/>
      <c r="H983" s="1"/>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G984" s="1"/>
      <c r="H984" s="1"/>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G985" s="1"/>
      <c r="H985" s="1"/>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G986" s="1"/>
      <c r="H986" s="1"/>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G987" s="1"/>
      <c r="H987" s="1"/>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G988" s="1"/>
      <c r="H988" s="1"/>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G989" s="1"/>
      <c r="H989" s="1"/>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G990" s="1"/>
      <c r="H990" s="1"/>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G991" s="1"/>
      <c r="H991" s="1"/>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G992" s="1"/>
      <c r="H992" s="1"/>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G993" s="1"/>
      <c r="H993" s="1"/>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G994" s="1"/>
      <c r="H994" s="1"/>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G995" s="1"/>
      <c r="H995" s="1"/>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G996" s="1"/>
      <c r="H996" s="1"/>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G997" s="1"/>
      <c r="H997" s="1"/>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G998" s="1"/>
      <c r="H998" s="1"/>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G999" s="1"/>
      <c r="H999" s="1"/>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G1000" s="1"/>
      <c r="H1000" s="1"/>
      <c r="I1000" s="1"/>
      <c r="J1000" s="1"/>
      <c r="K1000" s="1"/>
      <c r="L1000" s="1"/>
      <c r="M1000" s="1"/>
      <c r="N1000" s="1"/>
      <c r="O1000" s="1"/>
      <c r="P1000" s="1"/>
      <c r="Q1000" s="1"/>
      <c r="R1000" s="1"/>
      <c r="S1000" s="1"/>
      <c r="T1000" s="1"/>
      <c r="U1000" s="1"/>
      <c r="V1000" s="1"/>
      <c r="W1000" s="1"/>
      <c r="X1000" s="1"/>
      <c r="Y1000" s="1"/>
      <c r="Z1000" s="1"/>
    </row>
  </sheetData>
  <autoFilter ref="A3:F10"/>
  <mergeCells count="10">
    <mergeCell ref="A1:F1"/>
    <mergeCell ref="A2:F2"/>
    <mergeCell ref="A12:F12"/>
    <mergeCell ref="A13:F13"/>
    <mergeCell ref="A14:F14"/>
    <mergeCell ref="A15:F15"/>
    <mergeCell ref="A16:F16"/>
    <mergeCell ref="A17:F17"/>
    <mergeCell ref="A18:F18"/>
    <mergeCell ref="A19:F1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18"/>
    <col collapsed="false" customWidth="true" hidden="false" outlineLevel="0" max="2" min="2" style="1" width="16"/>
    <col collapsed="false" customWidth="true" hidden="false" outlineLevel="0" max="3" min="3" style="1" width="22"/>
    <col collapsed="false" customWidth="true" hidden="false" outlineLevel="0" max="4" min="4" style="1" width="40"/>
    <col collapsed="false" customWidth="true" hidden="false" outlineLevel="0" max="6" min="5" style="1" width="8.71"/>
  </cols>
  <sheetData>
    <row r="1" customFormat="false" ht="39.75" hidden="false" customHeight="true" outlineLevel="0" collapsed="false">
      <c r="A1" s="53" t="s">
        <v>390</v>
      </c>
      <c r="B1" s="53"/>
      <c r="C1" s="53"/>
      <c r="D1" s="53"/>
      <c r="G1" s="1"/>
      <c r="H1" s="1"/>
      <c r="I1" s="1"/>
      <c r="J1" s="1"/>
      <c r="K1" s="1"/>
      <c r="L1" s="1"/>
      <c r="M1" s="1"/>
      <c r="N1" s="1"/>
      <c r="O1" s="1"/>
      <c r="P1" s="1"/>
      <c r="Q1" s="1"/>
      <c r="R1" s="1"/>
      <c r="S1" s="1"/>
      <c r="T1" s="1"/>
      <c r="U1" s="1"/>
      <c r="V1" s="1"/>
      <c r="W1" s="1"/>
      <c r="X1" s="1"/>
      <c r="Y1" s="1"/>
      <c r="Z1" s="1"/>
    </row>
    <row r="2" customFormat="false" ht="19.5" hidden="false" customHeight="true" outlineLevel="0" collapsed="false">
      <c r="A2" s="20" t="s">
        <v>54</v>
      </c>
      <c r="B2" s="20"/>
      <c r="C2" s="20"/>
      <c r="D2" s="20"/>
      <c r="G2" s="1"/>
      <c r="H2" s="1"/>
      <c r="I2" s="1"/>
      <c r="J2" s="1"/>
      <c r="K2" s="1"/>
      <c r="L2" s="1"/>
      <c r="M2" s="1"/>
      <c r="N2" s="1"/>
      <c r="O2" s="1"/>
      <c r="P2" s="1"/>
      <c r="Q2" s="1"/>
      <c r="R2" s="1"/>
      <c r="S2" s="1"/>
      <c r="T2" s="1"/>
      <c r="U2" s="1"/>
      <c r="V2" s="1"/>
      <c r="W2" s="1"/>
      <c r="X2" s="1"/>
      <c r="Y2" s="1"/>
      <c r="Z2" s="1"/>
    </row>
    <row r="3" customFormat="false" ht="26.25" hidden="false" customHeight="true" outlineLevel="0" collapsed="false">
      <c r="A3" s="54" t="s">
        <v>391</v>
      </c>
      <c r="B3" s="54" t="s">
        <v>392</v>
      </c>
      <c r="C3" s="54" t="s">
        <v>393</v>
      </c>
      <c r="D3" s="54" t="s">
        <v>394</v>
      </c>
      <c r="G3" s="1"/>
      <c r="H3" s="1"/>
      <c r="I3" s="1"/>
      <c r="J3" s="1"/>
      <c r="K3" s="1"/>
      <c r="L3" s="1"/>
      <c r="M3" s="1"/>
      <c r="N3" s="1"/>
      <c r="O3" s="1"/>
      <c r="P3" s="1"/>
      <c r="Q3" s="1"/>
      <c r="R3" s="1"/>
      <c r="S3" s="1"/>
      <c r="T3" s="1"/>
      <c r="U3" s="1"/>
      <c r="V3" s="1"/>
      <c r="W3" s="1"/>
      <c r="X3" s="1"/>
      <c r="Y3" s="1"/>
      <c r="Z3" s="1"/>
    </row>
    <row r="4" customFormat="false" ht="15" hidden="false" customHeight="true" outlineLevel="0" collapsed="false">
      <c r="A4" s="79" t="s">
        <v>395</v>
      </c>
      <c r="B4" s="25" t="n">
        <v>26</v>
      </c>
      <c r="C4" s="26" t="n">
        <f aca="false">B4/95</f>
        <v>0.273684210526316</v>
      </c>
      <c r="D4" s="24" t="s">
        <v>396</v>
      </c>
      <c r="G4" s="1"/>
      <c r="H4" s="1"/>
      <c r="I4" s="1"/>
      <c r="J4" s="1"/>
      <c r="K4" s="1"/>
      <c r="L4" s="1"/>
      <c r="M4" s="1"/>
      <c r="N4" s="1"/>
      <c r="O4" s="1"/>
      <c r="P4" s="1"/>
      <c r="Q4" s="1"/>
      <c r="R4" s="1"/>
      <c r="S4" s="1"/>
      <c r="T4" s="1"/>
      <c r="U4" s="1"/>
      <c r="V4" s="1"/>
      <c r="W4" s="1"/>
      <c r="X4" s="1"/>
      <c r="Y4" s="1"/>
      <c r="Z4" s="1"/>
    </row>
    <row r="5" customFormat="false" ht="15" hidden="false" customHeight="true" outlineLevel="0" collapsed="false">
      <c r="A5" s="81" t="s">
        <v>397</v>
      </c>
      <c r="B5" s="30" t="n">
        <v>17</v>
      </c>
      <c r="C5" s="31" t="n">
        <f aca="false">B5/95</f>
        <v>0.178947368421053</v>
      </c>
      <c r="D5" s="29" t="s">
        <v>398</v>
      </c>
      <c r="G5" s="1"/>
      <c r="H5" s="1"/>
      <c r="I5" s="1"/>
      <c r="J5" s="1"/>
      <c r="K5" s="1"/>
      <c r="L5" s="1"/>
      <c r="M5" s="1"/>
      <c r="N5" s="1"/>
      <c r="O5" s="1"/>
      <c r="P5" s="1"/>
      <c r="Q5" s="1"/>
      <c r="R5" s="1"/>
      <c r="S5" s="1"/>
      <c r="T5" s="1"/>
      <c r="U5" s="1"/>
      <c r="V5" s="1"/>
      <c r="W5" s="1"/>
      <c r="X5" s="1"/>
      <c r="Y5" s="1"/>
      <c r="Z5" s="1"/>
    </row>
    <row r="6" customFormat="false" ht="15" hidden="false" customHeight="true" outlineLevel="0" collapsed="false">
      <c r="A6" s="79" t="s">
        <v>399</v>
      </c>
      <c r="B6" s="25" t="n">
        <v>18</v>
      </c>
      <c r="C6" s="26" t="n">
        <f aca="false">B6/95</f>
        <v>0.189473684210526</v>
      </c>
      <c r="D6" s="24" t="s">
        <v>400</v>
      </c>
      <c r="G6" s="1"/>
      <c r="H6" s="1"/>
      <c r="I6" s="1"/>
      <c r="J6" s="1"/>
      <c r="K6" s="1"/>
      <c r="L6" s="1"/>
      <c r="M6" s="1"/>
      <c r="N6" s="1"/>
      <c r="O6" s="1"/>
      <c r="P6" s="1"/>
      <c r="Q6" s="1"/>
      <c r="R6" s="1"/>
      <c r="S6" s="1"/>
      <c r="T6" s="1"/>
      <c r="U6" s="1"/>
      <c r="V6" s="1"/>
      <c r="W6" s="1"/>
      <c r="X6" s="1"/>
      <c r="Y6" s="1"/>
      <c r="Z6" s="1"/>
    </row>
    <row r="7" customFormat="false" ht="15" hidden="false" customHeight="true" outlineLevel="0" collapsed="false">
      <c r="A7" s="81" t="s">
        <v>401</v>
      </c>
      <c r="B7" s="30" t="n">
        <v>15</v>
      </c>
      <c r="C7" s="31" t="n">
        <f aca="false">B7/95</f>
        <v>0.157894736842105</v>
      </c>
      <c r="D7" s="29" t="s">
        <v>402</v>
      </c>
      <c r="G7" s="1"/>
      <c r="H7" s="1"/>
      <c r="I7" s="1"/>
      <c r="J7" s="1"/>
      <c r="K7" s="1"/>
      <c r="L7" s="1"/>
      <c r="M7" s="1"/>
      <c r="N7" s="1"/>
      <c r="O7" s="1"/>
      <c r="P7" s="1"/>
      <c r="Q7" s="1"/>
      <c r="R7" s="1"/>
      <c r="S7" s="1"/>
      <c r="T7" s="1"/>
      <c r="U7" s="1"/>
      <c r="V7" s="1"/>
      <c r="W7" s="1"/>
      <c r="X7" s="1"/>
      <c r="Y7" s="1"/>
      <c r="Z7" s="1"/>
    </row>
    <row r="8" customFormat="false" ht="15" hidden="false" customHeight="true" outlineLevel="0" collapsed="false">
      <c r="A8" s="79" t="s">
        <v>403</v>
      </c>
      <c r="B8" s="25" t="n">
        <v>19</v>
      </c>
      <c r="C8" s="26" t="n">
        <f aca="false">B8/95</f>
        <v>0.2</v>
      </c>
      <c r="D8" s="24" t="s">
        <v>404</v>
      </c>
      <c r="G8" s="1"/>
      <c r="H8" s="1"/>
      <c r="I8" s="1"/>
      <c r="J8" s="1"/>
      <c r="K8" s="1"/>
      <c r="L8" s="1"/>
      <c r="M8" s="1"/>
      <c r="N8" s="1"/>
      <c r="O8" s="1"/>
      <c r="P8" s="1"/>
      <c r="Q8" s="1"/>
      <c r="R8" s="1"/>
      <c r="S8" s="1"/>
      <c r="T8" s="1"/>
      <c r="U8" s="1"/>
      <c r="V8" s="1"/>
      <c r="W8" s="1"/>
      <c r="X8" s="1"/>
      <c r="Y8" s="1"/>
      <c r="Z8" s="1"/>
    </row>
    <row r="9" customFormat="false" ht="15" hidden="false" customHeight="true" outlineLevel="0" collapsed="false">
      <c r="G9" s="1"/>
      <c r="H9" s="1"/>
      <c r="I9" s="1"/>
      <c r="J9" s="1"/>
      <c r="K9" s="1"/>
      <c r="L9" s="1"/>
      <c r="M9" s="1"/>
      <c r="N9" s="1"/>
      <c r="O9" s="1"/>
      <c r="P9" s="1"/>
      <c r="Q9" s="1"/>
      <c r="R9" s="1"/>
      <c r="S9" s="1"/>
      <c r="T9" s="1"/>
      <c r="U9" s="1"/>
      <c r="V9" s="1"/>
      <c r="W9" s="1"/>
      <c r="X9" s="1"/>
      <c r="Y9" s="1"/>
      <c r="Z9" s="1"/>
    </row>
    <row r="10" customFormat="false" ht="15" hidden="false" customHeight="true" outlineLevel="0" collapsed="false">
      <c r="A10" s="84" t="s">
        <v>405</v>
      </c>
      <c r="G10" s="1"/>
      <c r="H10" s="1"/>
      <c r="I10" s="1"/>
      <c r="J10" s="1"/>
      <c r="K10" s="1"/>
      <c r="L10" s="1"/>
      <c r="M10" s="1"/>
      <c r="N10" s="1"/>
      <c r="O10" s="1"/>
      <c r="P10" s="1"/>
      <c r="Q10" s="1"/>
      <c r="R10" s="1"/>
      <c r="S10" s="1"/>
      <c r="T10" s="1"/>
      <c r="U10" s="1"/>
      <c r="V10" s="1"/>
      <c r="W10" s="1"/>
      <c r="X10" s="1"/>
      <c r="Y10" s="1"/>
      <c r="Z10" s="1"/>
    </row>
    <row r="11" customFormat="false" ht="15" hidden="false" customHeight="true" outlineLevel="0" collapsed="false">
      <c r="G11" s="1"/>
      <c r="H11" s="1"/>
      <c r="I11" s="1"/>
      <c r="J11" s="1"/>
      <c r="K11" s="1"/>
      <c r="L11" s="1"/>
      <c r="M11" s="1"/>
      <c r="N11" s="1"/>
      <c r="O11" s="1"/>
      <c r="P11" s="1"/>
      <c r="Q11" s="1"/>
      <c r="R11" s="1"/>
      <c r="S11" s="1"/>
      <c r="T11" s="1"/>
      <c r="U11" s="1"/>
      <c r="V11" s="1"/>
      <c r="W11" s="1"/>
      <c r="X11" s="1"/>
      <c r="Y11" s="1"/>
      <c r="Z11" s="1"/>
    </row>
    <row r="12" customFormat="false" ht="15.75" hidden="false" customHeight="true" outlineLevel="0" collapsed="false">
      <c r="A12" s="45" t="s">
        <v>159</v>
      </c>
      <c r="B12" s="45"/>
      <c r="C12" s="45"/>
      <c r="D12" s="45"/>
      <c r="G12" s="1"/>
      <c r="H12" s="1"/>
      <c r="I12" s="1"/>
      <c r="J12" s="1"/>
      <c r="K12" s="1"/>
      <c r="L12" s="1"/>
      <c r="M12" s="1"/>
      <c r="N12" s="1"/>
      <c r="O12" s="1"/>
      <c r="P12" s="1"/>
      <c r="Q12" s="1"/>
      <c r="R12" s="1"/>
      <c r="S12" s="1"/>
      <c r="T12" s="1"/>
      <c r="U12" s="1"/>
      <c r="V12" s="1"/>
      <c r="W12" s="1"/>
      <c r="X12" s="1"/>
      <c r="Y12" s="1"/>
      <c r="Z12" s="1"/>
    </row>
    <row r="13" customFormat="false" ht="15.75" hidden="false" customHeight="true" outlineLevel="0" collapsed="false">
      <c r="A13" s="46" t="s">
        <v>406</v>
      </c>
      <c r="B13" s="46"/>
      <c r="C13" s="46"/>
      <c r="D13" s="46"/>
      <c r="G13" s="1"/>
      <c r="H13" s="1"/>
      <c r="I13" s="1"/>
      <c r="J13" s="1"/>
      <c r="K13" s="1"/>
      <c r="L13" s="1"/>
      <c r="M13" s="1"/>
      <c r="N13" s="1"/>
      <c r="O13" s="1"/>
      <c r="P13" s="1"/>
      <c r="Q13" s="1"/>
      <c r="R13" s="1"/>
      <c r="S13" s="1"/>
      <c r="T13" s="1"/>
      <c r="U13" s="1"/>
      <c r="V13" s="1"/>
      <c r="W13" s="1"/>
      <c r="X13" s="1"/>
      <c r="Y13" s="1"/>
      <c r="Z13" s="1"/>
    </row>
    <row r="14" customFormat="false" ht="15.75" hidden="false" customHeight="true" outlineLevel="0" collapsed="false">
      <c r="A14" s="46" t="s">
        <v>407</v>
      </c>
      <c r="B14" s="46"/>
      <c r="C14" s="46"/>
      <c r="D14" s="46"/>
      <c r="G14" s="1"/>
      <c r="H14" s="1"/>
      <c r="I14" s="1"/>
      <c r="J14" s="1"/>
      <c r="K14" s="1"/>
      <c r="L14" s="1"/>
      <c r="M14" s="1"/>
      <c r="N14" s="1"/>
      <c r="O14" s="1"/>
      <c r="P14" s="1"/>
      <c r="Q14" s="1"/>
      <c r="R14" s="1"/>
      <c r="S14" s="1"/>
      <c r="T14" s="1"/>
      <c r="U14" s="1"/>
      <c r="V14" s="1"/>
      <c r="W14" s="1"/>
      <c r="X14" s="1"/>
      <c r="Y14" s="1"/>
      <c r="Z14" s="1"/>
    </row>
    <row r="15" customFormat="false" ht="15.75" hidden="false" customHeight="true" outlineLevel="0" collapsed="false">
      <c r="A15" s="46" t="s">
        <v>408</v>
      </c>
      <c r="B15" s="46"/>
      <c r="C15" s="46"/>
      <c r="D15" s="46"/>
      <c r="G15" s="1"/>
      <c r="H15" s="1"/>
      <c r="I15" s="1"/>
      <c r="J15" s="1"/>
      <c r="K15" s="1"/>
      <c r="L15" s="1"/>
      <c r="M15" s="1"/>
      <c r="N15" s="1"/>
      <c r="O15" s="1"/>
      <c r="P15" s="1"/>
      <c r="Q15" s="1"/>
      <c r="R15" s="1"/>
      <c r="S15" s="1"/>
      <c r="T15" s="1"/>
      <c r="U15" s="1"/>
      <c r="V15" s="1"/>
      <c r="W15" s="1"/>
      <c r="X15" s="1"/>
      <c r="Y15" s="1"/>
      <c r="Z15" s="1"/>
    </row>
    <row r="16" customFormat="false" ht="15.75" hidden="false" customHeight="true" outlineLevel="0" collapsed="false">
      <c r="A16" s="46" t="s">
        <v>409</v>
      </c>
      <c r="B16" s="46"/>
      <c r="C16" s="46"/>
      <c r="D16" s="46"/>
      <c r="G16" s="1"/>
      <c r="H16" s="1"/>
      <c r="I16" s="1"/>
      <c r="J16" s="1"/>
      <c r="K16" s="1"/>
      <c r="L16" s="1"/>
      <c r="M16" s="1"/>
      <c r="N16" s="1"/>
      <c r="O16" s="1"/>
      <c r="P16" s="1"/>
      <c r="Q16" s="1"/>
      <c r="R16" s="1"/>
      <c r="S16" s="1"/>
      <c r="T16" s="1"/>
      <c r="U16" s="1"/>
      <c r="V16" s="1"/>
      <c r="W16" s="1"/>
      <c r="X16" s="1"/>
      <c r="Y16" s="1"/>
      <c r="Z16" s="1"/>
    </row>
    <row r="17" customFormat="false" ht="15.75" hidden="false" customHeight="true" outlineLevel="0" collapsed="false">
      <c r="A17" s="46" t="s">
        <v>410</v>
      </c>
      <c r="B17" s="46"/>
      <c r="C17" s="46"/>
      <c r="D17" s="46"/>
      <c r="G17" s="1"/>
      <c r="H17" s="1"/>
      <c r="I17" s="1"/>
      <c r="J17" s="1"/>
      <c r="K17" s="1"/>
      <c r="L17" s="1"/>
      <c r="M17" s="1"/>
      <c r="N17" s="1"/>
      <c r="O17" s="1"/>
      <c r="P17" s="1"/>
      <c r="Q17" s="1"/>
      <c r="R17" s="1"/>
      <c r="S17" s="1"/>
      <c r="T17" s="1"/>
      <c r="U17" s="1"/>
      <c r="V17" s="1"/>
      <c r="W17" s="1"/>
      <c r="X17" s="1"/>
      <c r="Y17" s="1"/>
      <c r="Z17" s="1"/>
    </row>
    <row r="18" customFormat="false" ht="15" hidden="false" customHeight="true" outlineLevel="0" collapsed="false">
      <c r="G18" s="1"/>
      <c r="H18" s="1"/>
      <c r="I18" s="1"/>
      <c r="J18" s="1"/>
      <c r="K18" s="1"/>
      <c r="L18" s="1"/>
      <c r="M18" s="1"/>
      <c r="N18" s="1"/>
      <c r="O18" s="1"/>
      <c r="P18" s="1"/>
      <c r="Q18" s="1"/>
      <c r="R18" s="1"/>
      <c r="S18" s="1"/>
      <c r="T18" s="1"/>
      <c r="U18" s="1"/>
      <c r="V18" s="1"/>
      <c r="W18" s="1"/>
      <c r="X18" s="1"/>
      <c r="Y18" s="1"/>
      <c r="Z18" s="1"/>
    </row>
    <row r="19" customFormat="false" ht="15" hidden="false" customHeight="true" outlineLevel="0" collapsed="false">
      <c r="G19" s="1"/>
      <c r="H19" s="1"/>
      <c r="I19" s="1"/>
      <c r="J19" s="1"/>
      <c r="K19" s="1"/>
      <c r="L19" s="1"/>
      <c r="M19" s="1"/>
      <c r="N19" s="1"/>
      <c r="O19" s="1"/>
      <c r="P19" s="1"/>
      <c r="Q19" s="1"/>
      <c r="R19" s="1"/>
      <c r="S19" s="1"/>
      <c r="T19" s="1"/>
      <c r="U19" s="1"/>
      <c r="V19" s="1"/>
      <c r="W19" s="1"/>
      <c r="X19" s="1"/>
      <c r="Y19" s="1"/>
      <c r="Z19" s="1"/>
    </row>
    <row r="20" customFormat="false" ht="15" hidden="false" customHeight="true" outlineLevel="0" collapsed="false">
      <c r="G20" s="1"/>
      <c r="H20" s="1"/>
      <c r="I20" s="1"/>
      <c r="J20" s="1"/>
      <c r="K20" s="1"/>
      <c r="L20" s="1"/>
      <c r="M20" s="1"/>
      <c r="N20" s="1"/>
      <c r="O20" s="1"/>
      <c r="P20" s="1"/>
      <c r="Q20" s="1"/>
      <c r="R20" s="1"/>
      <c r="S20" s="1"/>
      <c r="T20" s="1"/>
      <c r="U20" s="1"/>
      <c r="V20" s="1"/>
      <c r="W20" s="1"/>
      <c r="X20" s="1"/>
      <c r="Y20" s="1"/>
      <c r="Z20" s="1"/>
    </row>
    <row r="21" customFormat="false" ht="15.75" hidden="false" customHeight="true" outlineLevel="0" collapsed="false">
      <c r="G21" s="1"/>
      <c r="H21" s="1"/>
      <c r="I21" s="1"/>
      <c r="J21" s="1"/>
      <c r="K21" s="1"/>
      <c r="L21" s="1"/>
      <c r="M21" s="1"/>
      <c r="N21" s="1"/>
      <c r="O21" s="1"/>
      <c r="P21" s="1"/>
      <c r="Q21" s="1"/>
      <c r="R21" s="1"/>
      <c r="S21" s="1"/>
      <c r="T21" s="1"/>
      <c r="U21" s="1"/>
      <c r="V21" s="1"/>
      <c r="W21" s="1"/>
      <c r="X21" s="1"/>
      <c r="Y21" s="1"/>
      <c r="Z21" s="1"/>
    </row>
    <row r="22" customFormat="false" ht="15.75" hidden="false" customHeight="true" outlineLevel="0" collapsed="false">
      <c r="G22" s="1"/>
      <c r="H22" s="1"/>
      <c r="I22" s="1"/>
      <c r="J22" s="1"/>
      <c r="K22" s="1"/>
      <c r="L22" s="1"/>
      <c r="M22" s="1"/>
      <c r="N22" s="1"/>
      <c r="O22" s="1"/>
      <c r="P22" s="1"/>
      <c r="Q22" s="1"/>
      <c r="R22" s="1"/>
      <c r="S22" s="1"/>
      <c r="T22" s="1"/>
      <c r="U22" s="1"/>
      <c r="V22" s="1"/>
      <c r="W22" s="1"/>
      <c r="X22" s="1"/>
      <c r="Y22" s="1"/>
      <c r="Z22" s="1"/>
    </row>
    <row r="23" customFormat="false" ht="15.75" hidden="false" customHeight="true" outlineLevel="0" collapsed="false">
      <c r="G23" s="1"/>
      <c r="H23" s="1"/>
      <c r="I23" s="1"/>
      <c r="J23" s="1"/>
      <c r="K23" s="1"/>
      <c r="L23" s="1"/>
      <c r="M23" s="1"/>
      <c r="N23" s="1"/>
      <c r="O23" s="1"/>
      <c r="P23" s="1"/>
      <c r="Q23" s="1"/>
      <c r="R23" s="1"/>
      <c r="S23" s="1"/>
      <c r="T23" s="1"/>
      <c r="U23" s="1"/>
      <c r="V23" s="1"/>
      <c r="W23" s="1"/>
      <c r="X23" s="1"/>
      <c r="Y23" s="1"/>
      <c r="Z23" s="1"/>
    </row>
    <row r="24" customFormat="false" ht="15.75" hidden="false" customHeight="true" outlineLevel="0" collapsed="false">
      <c r="G24" s="1"/>
      <c r="H24" s="1"/>
      <c r="I24" s="1"/>
      <c r="J24" s="1"/>
      <c r="K24" s="1"/>
      <c r="L24" s="1"/>
      <c r="M24" s="1"/>
      <c r="N24" s="1"/>
      <c r="O24" s="1"/>
      <c r="P24" s="1"/>
      <c r="Q24" s="1"/>
      <c r="R24" s="1"/>
      <c r="S24" s="1"/>
      <c r="T24" s="1"/>
      <c r="U24" s="1"/>
      <c r="V24" s="1"/>
      <c r="W24" s="1"/>
      <c r="X24" s="1"/>
      <c r="Y24" s="1"/>
      <c r="Z24" s="1"/>
    </row>
    <row r="25" customFormat="false" ht="15.75" hidden="false" customHeight="true" outlineLevel="0" collapsed="false">
      <c r="G25" s="1"/>
      <c r="H25" s="1"/>
      <c r="I25" s="1"/>
      <c r="J25" s="1"/>
      <c r="K25" s="1"/>
      <c r="L25" s="1"/>
      <c r="M25" s="1"/>
      <c r="N25" s="1"/>
      <c r="O25" s="1"/>
      <c r="P25" s="1"/>
      <c r="Q25" s="1"/>
      <c r="R25" s="1"/>
      <c r="S25" s="1"/>
      <c r="T25" s="1"/>
      <c r="U25" s="1"/>
      <c r="V25" s="1"/>
      <c r="W25" s="1"/>
      <c r="X25" s="1"/>
      <c r="Y25" s="1"/>
      <c r="Z25" s="1"/>
    </row>
    <row r="26" customFormat="false" ht="15.75" hidden="false" customHeight="true" outlineLevel="0" collapsed="false">
      <c r="G26" s="1"/>
      <c r="H26" s="1"/>
      <c r="I26" s="1"/>
      <c r="J26" s="1"/>
      <c r="K26" s="1"/>
      <c r="L26" s="1"/>
      <c r="M26" s="1"/>
      <c r="N26" s="1"/>
      <c r="O26" s="1"/>
      <c r="P26" s="1"/>
      <c r="Q26" s="1"/>
      <c r="R26" s="1"/>
      <c r="S26" s="1"/>
      <c r="T26" s="1"/>
      <c r="U26" s="1"/>
      <c r="V26" s="1"/>
      <c r="W26" s="1"/>
      <c r="X26" s="1"/>
      <c r="Y26" s="1"/>
      <c r="Z26" s="1"/>
    </row>
    <row r="27" customFormat="false" ht="15.75" hidden="false" customHeight="true" outlineLevel="0" collapsed="false">
      <c r="G27" s="1"/>
      <c r="H27" s="1"/>
      <c r="I27" s="1"/>
      <c r="J27" s="1"/>
      <c r="K27" s="1"/>
      <c r="L27" s="1"/>
      <c r="M27" s="1"/>
      <c r="N27" s="1"/>
      <c r="O27" s="1"/>
      <c r="P27" s="1"/>
      <c r="Q27" s="1"/>
      <c r="R27" s="1"/>
      <c r="S27" s="1"/>
      <c r="T27" s="1"/>
      <c r="U27" s="1"/>
      <c r="V27" s="1"/>
      <c r="W27" s="1"/>
      <c r="X27" s="1"/>
      <c r="Y27" s="1"/>
      <c r="Z27" s="1"/>
    </row>
    <row r="28" customFormat="false" ht="15.75" hidden="false" customHeight="true" outlineLevel="0" collapsed="false">
      <c r="G28" s="1"/>
      <c r="H28" s="1"/>
      <c r="I28" s="1"/>
      <c r="J28" s="1"/>
      <c r="K28" s="1"/>
      <c r="L28" s="1"/>
      <c r="M28" s="1"/>
      <c r="N28" s="1"/>
      <c r="O28" s="1"/>
      <c r="P28" s="1"/>
      <c r="Q28" s="1"/>
      <c r="R28" s="1"/>
      <c r="S28" s="1"/>
      <c r="T28" s="1"/>
      <c r="U28" s="1"/>
      <c r="V28" s="1"/>
      <c r="W28" s="1"/>
      <c r="X28" s="1"/>
      <c r="Y28" s="1"/>
      <c r="Z28" s="1"/>
    </row>
    <row r="29" customFormat="false" ht="15.75" hidden="false" customHeight="true" outlineLevel="0" collapsed="false">
      <c r="G29" s="1"/>
      <c r="H29" s="1"/>
      <c r="I29" s="1"/>
      <c r="J29" s="1"/>
      <c r="K29" s="1"/>
      <c r="L29" s="1"/>
      <c r="M29" s="1"/>
      <c r="N29" s="1"/>
      <c r="O29" s="1"/>
      <c r="P29" s="1"/>
      <c r="Q29" s="1"/>
      <c r="R29" s="1"/>
      <c r="S29" s="1"/>
      <c r="T29" s="1"/>
      <c r="U29" s="1"/>
      <c r="V29" s="1"/>
      <c r="W29" s="1"/>
      <c r="X29" s="1"/>
      <c r="Y29" s="1"/>
      <c r="Z29" s="1"/>
    </row>
    <row r="30" customFormat="false" ht="15.75" hidden="false" customHeight="true" outlineLevel="0" collapsed="false">
      <c r="G30" s="1"/>
      <c r="H30" s="1"/>
      <c r="I30" s="1"/>
      <c r="J30" s="1"/>
      <c r="K30" s="1"/>
      <c r="L30" s="1"/>
      <c r="M30" s="1"/>
      <c r="N30" s="1"/>
      <c r="O30" s="1"/>
      <c r="P30" s="1"/>
      <c r="Q30" s="1"/>
      <c r="R30" s="1"/>
      <c r="S30" s="1"/>
      <c r="T30" s="1"/>
      <c r="U30" s="1"/>
      <c r="V30" s="1"/>
      <c r="W30" s="1"/>
      <c r="X30" s="1"/>
      <c r="Y30" s="1"/>
      <c r="Z30" s="1"/>
    </row>
    <row r="31" customFormat="false" ht="15.75" hidden="false" customHeight="true" outlineLevel="0" collapsed="false">
      <c r="G31" s="1"/>
      <c r="H31" s="1"/>
      <c r="I31" s="1"/>
      <c r="J31" s="1"/>
      <c r="K31" s="1"/>
      <c r="L31" s="1"/>
      <c r="M31" s="1"/>
      <c r="N31" s="1"/>
      <c r="O31" s="1"/>
      <c r="P31" s="1"/>
      <c r="Q31" s="1"/>
      <c r="R31" s="1"/>
      <c r="S31" s="1"/>
      <c r="T31" s="1"/>
      <c r="U31" s="1"/>
      <c r="V31" s="1"/>
      <c r="W31" s="1"/>
      <c r="X31" s="1"/>
      <c r="Y31" s="1"/>
      <c r="Z31" s="1"/>
    </row>
    <row r="32" customFormat="false" ht="15.75" hidden="false" customHeight="true" outlineLevel="0" collapsed="false">
      <c r="G32" s="1"/>
      <c r="H32" s="1"/>
      <c r="I32" s="1"/>
      <c r="J32" s="1"/>
      <c r="K32" s="1"/>
      <c r="L32" s="1"/>
      <c r="M32" s="1"/>
      <c r="N32" s="1"/>
      <c r="O32" s="1"/>
      <c r="P32" s="1"/>
      <c r="Q32" s="1"/>
      <c r="R32" s="1"/>
      <c r="S32" s="1"/>
      <c r="T32" s="1"/>
      <c r="U32" s="1"/>
      <c r="V32" s="1"/>
      <c r="W32" s="1"/>
      <c r="X32" s="1"/>
      <c r="Y32" s="1"/>
      <c r="Z32" s="1"/>
    </row>
    <row r="33" customFormat="false" ht="15.75" hidden="false" customHeight="true" outlineLevel="0" collapsed="false">
      <c r="G33" s="1"/>
      <c r="H33" s="1"/>
      <c r="I33" s="1"/>
      <c r="J33" s="1"/>
      <c r="K33" s="1"/>
      <c r="L33" s="1"/>
      <c r="M33" s="1"/>
      <c r="N33" s="1"/>
      <c r="O33" s="1"/>
      <c r="P33" s="1"/>
      <c r="Q33" s="1"/>
      <c r="R33" s="1"/>
      <c r="S33" s="1"/>
      <c r="T33" s="1"/>
      <c r="U33" s="1"/>
      <c r="V33" s="1"/>
      <c r="W33" s="1"/>
      <c r="X33" s="1"/>
      <c r="Y33" s="1"/>
      <c r="Z33" s="1"/>
    </row>
    <row r="34" customFormat="false" ht="15.75" hidden="false" customHeight="true" outlineLevel="0" collapsed="false">
      <c r="G34" s="1"/>
      <c r="H34" s="1"/>
      <c r="I34" s="1"/>
      <c r="J34" s="1"/>
      <c r="K34" s="1"/>
      <c r="L34" s="1"/>
      <c r="M34" s="1"/>
      <c r="N34" s="1"/>
      <c r="O34" s="1"/>
      <c r="P34" s="1"/>
      <c r="Q34" s="1"/>
      <c r="R34" s="1"/>
      <c r="S34" s="1"/>
      <c r="T34" s="1"/>
      <c r="U34" s="1"/>
      <c r="V34" s="1"/>
      <c r="W34" s="1"/>
      <c r="X34" s="1"/>
      <c r="Y34" s="1"/>
      <c r="Z34" s="1"/>
    </row>
    <row r="35" customFormat="false" ht="15.75" hidden="false" customHeight="true" outlineLevel="0" collapsed="false">
      <c r="G35" s="1"/>
      <c r="H35" s="1"/>
      <c r="I35" s="1"/>
      <c r="J35" s="1"/>
      <c r="K35" s="1"/>
      <c r="L35" s="1"/>
      <c r="M35" s="1"/>
      <c r="N35" s="1"/>
      <c r="O35" s="1"/>
      <c r="P35" s="1"/>
      <c r="Q35" s="1"/>
      <c r="R35" s="1"/>
      <c r="S35" s="1"/>
      <c r="T35" s="1"/>
      <c r="U35" s="1"/>
      <c r="V35" s="1"/>
      <c r="W35" s="1"/>
      <c r="X35" s="1"/>
      <c r="Y35" s="1"/>
      <c r="Z35" s="1"/>
    </row>
    <row r="36" customFormat="false" ht="15.75" hidden="false" customHeight="true" outlineLevel="0" collapsed="false">
      <c r="G36" s="1"/>
      <c r="H36" s="1"/>
      <c r="I36" s="1"/>
      <c r="J36" s="1"/>
      <c r="K36" s="1"/>
      <c r="L36" s="1"/>
      <c r="M36" s="1"/>
      <c r="N36" s="1"/>
      <c r="O36" s="1"/>
      <c r="P36" s="1"/>
      <c r="Q36" s="1"/>
      <c r="R36" s="1"/>
      <c r="S36" s="1"/>
      <c r="T36" s="1"/>
      <c r="U36" s="1"/>
      <c r="V36" s="1"/>
      <c r="W36" s="1"/>
      <c r="X36" s="1"/>
      <c r="Y36" s="1"/>
      <c r="Z36" s="1"/>
    </row>
    <row r="37" customFormat="false" ht="15.75" hidden="false" customHeight="true" outlineLevel="0" collapsed="false">
      <c r="G37" s="1"/>
      <c r="H37" s="1"/>
      <c r="I37" s="1"/>
      <c r="J37" s="1"/>
      <c r="K37" s="1"/>
      <c r="L37" s="1"/>
      <c r="M37" s="1"/>
      <c r="N37" s="1"/>
      <c r="O37" s="1"/>
      <c r="P37" s="1"/>
      <c r="Q37" s="1"/>
      <c r="R37" s="1"/>
      <c r="S37" s="1"/>
      <c r="T37" s="1"/>
      <c r="U37" s="1"/>
      <c r="V37" s="1"/>
      <c r="W37" s="1"/>
      <c r="X37" s="1"/>
      <c r="Y37" s="1"/>
      <c r="Z37" s="1"/>
    </row>
    <row r="38" customFormat="false" ht="15.75" hidden="false" customHeight="true" outlineLevel="0" collapsed="false">
      <c r="G38" s="1"/>
      <c r="H38" s="1"/>
      <c r="I38" s="1"/>
      <c r="J38" s="1"/>
      <c r="K38" s="1"/>
      <c r="L38" s="1"/>
      <c r="M38" s="1"/>
      <c r="N38" s="1"/>
      <c r="O38" s="1"/>
      <c r="P38" s="1"/>
      <c r="Q38" s="1"/>
      <c r="R38" s="1"/>
      <c r="S38" s="1"/>
      <c r="T38" s="1"/>
      <c r="U38" s="1"/>
      <c r="V38" s="1"/>
      <c r="W38" s="1"/>
      <c r="X38" s="1"/>
      <c r="Y38" s="1"/>
      <c r="Z38" s="1"/>
    </row>
    <row r="39" customFormat="false" ht="15.75" hidden="false" customHeight="true" outlineLevel="0" collapsed="false">
      <c r="G39" s="1"/>
      <c r="H39" s="1"/>
      <c r="I39" s="1"/>
      <c r="J39" s="1"/>
      <c r="K39" s="1"/>
      <c r="L39" s="1"/>
      <c r="M39" s="1"/>
      <c r="N39" s="1"/>
      <c r="O39" s="1"/>
      <c r="P39" s="1"/>
      <c r="Q39" s="1"/>
      <c r="R39" s="1"/>
      <c r="S39" s="1"/>
      <c r="T39" s="1"/>
      <c r="U39" s="1"/>
      <c r="V39" s="1"/>
      <c r="W39" s="1"/>
      <c r="X39" s="1"/>
      <c r="Y39" s="1"/>
      <c r="Z39" s="1"/>
    </row>
    <row r="40" customFormat="false" ht="15.75" hidden="false" customHeight="true" outlineLevel="0" collapsed="false">
      <c r="G40" s="1"/>
      <c r="H40" s="1"/>
      <c r="I40" s="1"/>
      <c r="J40" s="1"/>
      <c r="K40" s="1"/>
      <c r="L40" s="1"/>
      <c r="M40" s="1"/>
      <c r="N40" s="1"/>
      <c r="O40" s="1"/>
      <c r="P40" s="1"/>
      <c r="Q40" s="1"/>
      <c r="R40" s="1"/>
      <c r="S40" s="1"/>
      <c r="T40" s="1"/>
      <c r="U40" s="1"/>
      <c r="V40" s="1"/>
      <c r="W40" s="1"/>
      <c r="X40" s="1"/>
      <c r="Y40" s="1"/>
      <c r="Z40" s="1"/>
    </row>
    <row r="41" customFormat="false" ht="15.75" hidden="false" customHeight="true" outlineLevel="0" collapsed="false">
      <c r="G41" s="1"/>
      <c r="H41" s="1"/>
      <c r="I41" s="1"/>
      <c r="J41" s="1"/>
      <c r="K41" s="1"/>
      <c r="L41" s="1"/>
      <c r="M41" s="1"/>
      <c r="N41" s="1"/>
      <c r="O41" s="1"/>
      <c r="P41" s="1"/>
      <c r="Q41" s="1"/>
      <c r="R41" s="1"/>
      <c r="S41" s="1"/>
      <c r="T41" s="1"/>
      <c r="U41" s="1"/>
      <c r="V41" s="1"/>
      <c r="W41" s="1"/>
      <c r="X41" s="1"/>
      <c r="Y41" s="1"/>
      <c r="Z41" s="1"/>
    </row>
    <row r="42" customFormat="false" ht="15.75" hidden="false" customHeight="true" outlineLevel="0" collapsed="false">
      <c r="G42" s="1"/>
      <c r="H42" s="1"/>
      <c r="I42" s="1"/>
      <c r="J42" s="1"/>
      <c r="K42" s="1"/>
      <c r="L42" s="1"/>
      <c r="M42" s="1"/>
      <c r="N42" s="1"/>
      <c r="O42" s="1"/>
      <c r="P42" s="1"/>
      <c r="Q42" s="1"/>
      <c r="R42" s="1"/>
      <c r="S42" s="1"/>
      <c r="T42" s="1"/>
      <c r="U42" s="1"/>
      <c r="V42" s="1"/>
      <c r="W42" s="1"/>
      <c r="X42" s="1"/>
      <c r="Y42" s="1"/>
      <c r="Z42" s="1"/>
    </row>
    <row r="43" customFormat="false" ht="15.75" hidden="false" customHeight="true" outlineLevel="0" collapsed="false">
      <c r="G43" s="1"/>
      <c r="H43" s="1"/>
      <c r="I43" s="1"/>
      <c r="J43" s="1"/>
      <c r="K43" s="1"/>
      <c r="L43" s="1"/>
      <c r="M43" s="1"/>
      <c r="N43" s="1"/>
      <c r="O43" s="1"/>
      <c r="P43" s="1"/>
      <c r="Q43" s="1"/>
      <c r="R43" s="1"/>
      <c r="S43" s="1"/>
      <c r="T43" s="1"/>
      <c r="U43" s="1"/>
      <c r="V43" s="1"/>
      <c r="W43" s="1"/>
      <c r="X43" s="1"/>
      <c r="Y43" s="1"/>
      <c r="Z43" s="1"/>
    </row>
    <row r="44" customFormat="false" ht="15.75" hidden="false" customHeight="true" outlineLevel="0" collapsed="false">
      <c r="G44" s="1"/>
      <c r="H44" s="1"/>
      <c r="I44" s="1"/>
      <c r="J44" s="1"/>
      <c r="K44" s="1"/>
      <c r="L44" s="1"/>
      <c r="M44" s="1"/>
      <c r="N44" s="1"/>
      <c r="O44" s="1"/>
      <c r="P44" s="1"/>
      <c r="Q44" s="1"/>
      <c r="R44" s="1"/>
      <c r="S44" s="1"/>
      <c r="T44" s="1"/>
      <c r="U44" s="1"/>
      <c r="V44" s="1"/>
      <c r="W44" s="1"/>
      <c r="X44" s="1"/>
      <c r="Y44" s="1"/>
      <c r="Z44" s="1"/>
    </row>
    <row r="45" customFormat="false" ht="15.75" hidden="false" customHeight="true" outlineLevel="0" collapsed="false">
      <c r="G45" s="1"/>
      <c r="H45" s="1"/>
      <c r="I45" s="1"/>
      <c r="J45" s="1"/>
      <c r="K45" s="1"/>
      <c r="L45" s="1"/>
      <c r="M45" s="1"/>
      <c r="N45" s="1"/>
      <c r="O45" s="1"/>
      <c r="P45" s="1"/>
      <c r="Q45" s="1"/>
      <c r="R45" s="1"/>
      <c r="S45" s="1"/>
      <c r="T45" s="1"/>
      <c r="U45" s="1"/>
      <c r="V45" s="1"/>
      <c r="W45" s="1"/>
      <c r="X45" s="1"/>
      <c r="Y45" s="1"/>
      <c r="Z45" s="1"/>
    </row>
    <row r="46" customFormat="false" ht="15.75" hidden="false" customHeight="true" outlineLevel="0" collapsed="false">
      <c r="G46" s="1"/>
      <c r="H46" s="1"/>
      <c r="I46" s="1"/>
      <c r="J46" s="1"/>
      <c r="K46" s="1"/>
      <c r="L46" s="1"/>
      <c r="M46" s="1"/>
      <c r="N46" s="1"/>
      <c r="O46" s="1"/>
      <c r="P46" s="1"/>
      <c r="Q46" s="1"/>
      <c r="R46" s="1"/>
      <c r="S46" s="1"/>
      <c r="T46" s="1"/>
      <c r="U46" s="1"/>
      <c r="V46" s="1"/>
      <c r="W46" s="1"/>
      <c r="X46" s="1"/>
      <c r="Y46" s="1"/>
      <c r="Z46" s="1"/>
    </row>
    <row r="47" customFormat="false" ht="15.75" hidden="false" customHeight="true" outlineLevel="0" collapsed="false">
      <c r="G47" s="1"/>
      <c r="H47" s="1"/>
      <c r="I47" s="1"/>
      <c r="J47" s="1"/>
      <c r="K47" s="1"/>
      <c r="L47" s="1"/>
      <c r="M47" s="1"/>
      <c r="N47" s="1"/>
      <c r="O47" s="1"/>
      <c r="P47" s="1"/>
      <c r="Q47" s="1"/>
      <c r="R47" s="1"/>
      <c r="S47" s="1"/>
      <c r="T47" s="1"/>
      <c r="U47" s="1"/>
      <c r="V47" s="1"/>
      <c r="W47" s="1"/>
      <c r="X47" s="1"/>
      <c r="Y47" s="1"/>
      <c r="Z47" s="1"/>
    </row>
    <row r="48" customFormat="false" ht="15.75" hidden="false" customHeight="true" outlineLevel="0" collapsed="false">
      <c r="G48" s="1"/>
      <c r="H48" s="1"/>
      <c r="I48" s="1"/>
      <c r="J48" s="1"/>
      <c r="K48" s="1"/>
      <c r="L48" s="1"/>
      <c r="M48" s="1"/>
      <c r="N48" s="1"/>
      <c r="O48" s="1"/>
      <c r="P48" s="1"/>
      <c r="Q48" s="1"/>
      <c r="R48" s="1"/>
      <c r="S48" s="1"/>
      <c r="T48" s="1"/>
      <c r="U48" s="1"/>
      <c r="V48" s="1"/>
      <c r="W48" s="1"/>
      <c r="X48" s="1"/>
      <c r="Y48" s="1"/>
      <c r="Z48" s="1"/>
    </row>
    <row r="49" customFormat="false" ht="15.75" hidden="false" customHeight="true" outlineLevel="0" collapsed="false">
      <c r="G49" s="1"/>
      <c r="H49" s="1"/>
      <c r="I49" s="1"/>
      <c r="J49" s="1"/>
      <c r="K49" s="1"/>
      <c r="L49" s="1"/>
      <c r="M49" s="1"/>
      <c r="N49" s="1"/>
      <c r="O49" s="1"/>
      <c r="P49" s="1"/>
      <c r="Q49" s="1"/>
      <c r="R49" s="1"/>
      <c r="S49" s="1"/>
      <c r="T49" s="1"/>
      <c r="U49" s="1"/>
      <c r="V49" s="1"/>
      <c r="W49" s="1"/>
      <c r="X49" s="1"/>
      <c r="Y49" s="1"/>
      <c r="Z49" s="1"/>
    </row>
    <row r="50" customFormat="false" ht="15.75" hidden="false" customHeight="true" outlineLevel="0" collapsed="false">
      <c r="G50" s="1"/>
      <c r="H50" s="1"/>
      <c r="I50" s="1"/>
      <c r="J50" s="1"/>
      <c r="K50" s="1"/>
      <c r="L50" s="1"/>
      <c r="M50" s="1"/>
      <c r="N50" s="1"/>
      <c r="O50" s="1"/>
      <c r="P50" s="1"/>
      <c r="Q50" s="1"/>
      <c r="R50" s="1"/>
      <c r="S50" s="1"/>
      <c r="T50" s="1"/>
      <c r="U50" s="1"/>
      <c r="V50" s="1"/>
      <c r="W50" s="1"/>
      <c r="X50" s="1"/>
      <c r="Y50" s="1"/>
      <c r="Z50" s="1"/>
    </row>
    <row r="51" customFormat="false" ht="15.75" hidden="false" customHeight="true" outlineLevel="0" collapsed="false">
      <c r="G51" s="1"/>
      <c r="H51" s="1"/>
      <c r="I51" s="1"/>
      <c r="J51" s="1"/>
      <c r="K51" s="1"/>
      <c r="L51" s="1"/>
      <c r="M51" s="1"/>
      <c r="N51" s="1"/>
      <c r="O51" s="1"/>
      <c r="P51" s="1"/>
      <c r="Q51" s="1"/>
      <c r="R51" s="1"/>
      <c r="S51" s="1"/>
      <c r="T51" s="1"/>
      <c r="U51" s="1"/>
      <c r="V51" s="1"/>
      <c r="W51" s="1"/>
      <c r="X51" s="1"/>
      <c r="Y51" s="1"/>
      <c r="Z51" s="1"/>
    </row>
    <row r="52" customFormat="false" ht="15.75" hidden="false" customHeight="true" outlineLevel="0" collapsed="false">
      <c r="G52" s="1"/>
      <c r="H52" s="1"/>
      <c r="I52" s="1"/>
      <c r="J52" s="1"/>
      <c r="K52" s="1"/>
      <c r="L52" s="1"/>
      <c r="M52" s="1"/>
      <c r="N52" s="1"/>
      <c r="O52" s="1"/>
      <c r="P52" s="1"/>
      <c r="Q52" s="1"/>
      <c r="R52" s="1"/>
      <c r="S52" s="1"/>
      <c r="T52" s="1"/>
      <c r="U52" s="1"/>
      <c r="V52" s="1"/>
      <c r="W52" s="1"/>
      <c r="X52" s="1"/>
      <c r="Y52" s="1"/>
      <c r="Z52" s="1"/>
    </row>
    <row r="53" customFormat="false" ht="15.75" hidden="false" customHeight="true" outlineLevel="0" collapsed="false">
      <c r="G53" s="1"/>
      <c r="H53" s="1"/>
      <c r="I53" s="1"/>
      <c r="J53" s="1"/>
      <c r="K53" s="1"/>
      <c r="L53" s="1"/>
      <c r="M53" s="1"/>
      <c r="N53" s="1"/>
      <c r="O53" s="1"/>
      <c r="P53" s="1"/>
      <c r="Q53" s="1"/>
      <c r="R53" s="1"/>
      <c r="S53" s="1"/>
      <c r="T53" s="1"/>
      <c r="U53" s="1"/>
      <c r="V53" s="1"/>
      <c r="W53" s="1"/>
      <c r="X53" s="1"/>
      <c r="Y53" s="1"/>
      <c r="Z53" s="1"/>
    </row>
    <row r="54" customFormat="false" ht="15.75" hidden="false" customHeight="true" outlineLevel="0" collapsed="false">
      <c r="G54" s="1"/>
      <c r="H54" s="1"/>
      <c r="I54" s="1"/>
      <c r="J54" s="1"/>
      <c r="K54" s="1"/>
      <c r="L54" s="1"/>
      <c r="M54" s="1"/>
      <c r="N54" s="1"/>
      <c r="O54" s="1"/>
      <c r="P54" s="1"/>
      <c r="Q54" s="1"/>
      <c r="R54" s="1"/>
      <c r="S54" s="1"/>
      <c r="T54" s="1"/>
      <c r="U54" s="1"/>
      <c r="V54" s="1"/>
      <c r="W54" s="1"/>
      <c r="X54" s="1"/>
      <c r="Y54" s="1"/>
      <c r="Z54" s="1"/>
    </row>
    <row r="55" customFormat="false" ht="15.75" hidden="false" customHeight="true" outlineLevel="0" collapsed="false">
      <c r="G55" s="1"/>
      <c r="H55" s="1"/>
      <c r="I55" s="1"/>
      <c r="J55" s="1"/>
      <c r="K55" s="1"/>
      <c r="L55" s="1"/>
      <c r="M55" s="1"/>
      <c r="N55" s="1"/>
      <c r="O55" s="1"/>
      <c r="P55" s="1"/>
      <c r="Q55" s="1"/>
      <c r="R55" s="1"/>
      <c r="S55" s="1"/>
      <c r="T55" s="1"/>
      <c r="U55" s="1"/>
      <c r="V55" s="1"/>
      <c r="W55" s="1"/>
      <c r="X55" s="1"/>
      <c r="Y55" s="1"/>
      <c r="Z55" s="1"/>
    </row>
    <row r="56" customFormat="false" ht="15.75" hidden="false" customHeight="true" outlineLevel="0" collapsed="false">
      <c r="G56" s="1"/>
      <c r="H56" s="1"/>
      <c r="I56" s="1"/>
      <c r="J56" s="1"/>
      <c r="K56" s="1"/>
      <c r="L56" s="1"/>
      <c r="M56" s="1"/>
      <c r="N56" s="1"/>
      <c r="O56" s="1"/>
      <c r="P56" s="1"/>
      <c r="Q56" s="1"/>
      <c r="R56" s="1"/>
      <c r="S56" s="1"/>
      <c r="T56" s="1"/>
      <c r="U56" s="1"/>
      <c r="V56" s="1"/>
      <c r="W56" s="1"/>
      <c r="X56" s="1"/>
      <c r="Y56" s="1"/>
      <c r="Z56" s="1"/>
    </row>
    <row r="57" customFormat="false" ht="15.75" hidden="false" customHeight="true" outlineLevel="0" collapsed="false">
      <c r="G57" s="1"/>
      <c r="H57" s="1"/>
      <c r="I57" s="1"/>
      <c r="J57" s="1"/>
      <c r="K57" s="1"/>
      <c r="L57" s="1"/>
      <c r="M57" s="1"/>
      <c r="N57" s="1"/>
      <c r="O57" s="1"/>
      <c r="P57" s="1"/>
      <c r="Q57" s="1"/>
      <c r="R57" s="1"/>
      <c r="S57" s="1"/>
      <c r="T57" s="1"/>
      <c r="U57" s="1"/>
      <c r="V57" s="1"/>
      <c r="W57" s="1"/>
      <c r="X57" s="1"/>
      <c r="Y57" s="1"/>
      <c r="Z57" s="1"/>
    </row>
    <row r="58" customFormat="false" ht="15.75" hidden="false" customHeight="true" outlineLevel="0" collapsed="false">
      <c r="G58" s="1"/>
      <c r="H58" s="1"/>
      <c r="I58" s="1"/>
      <c r="J58" s="1"/>
      <c r="K58" s="1"/>
      <c r="L58" s="1"/>
      <c r="M58" s="1"/>
      <c r="N58" s="1"/>
      <c r="O58" s="1"/>
      <c r="P58" s="1"/>
      <c r="Q58" s="1"/>
      <c r="R58" s="1"/>
      <c r="S58" s="1"/>
      <c r="T58" s="1"/>
      <c r="U58" s="1"/>
      <c r="V58" s="1"/>
      <c r="W58" s="1"/>
      <c r="X58" s="1"/>
      <c r="Y58" s="1"/>
      <c r="Z58" s="1"/>
    </row>
    <row r="59" customFormat="false" ht="15.75" hidden="false" customHeight="true" outlineLevel="0" collapsed="false">
      <c r="G59" s="1"/>
      <c r="H59" s="1"/>
      <c r="I59" s="1"/>
      <c r="J59" s="1"/>
      <c r="K59" s="1"/>
      <c r="L59" s="1"/>
      <c r="M59" s="1"/>
      <c r="N59" s="1"/>
      <c r="O59" s="1"/>
      <c r="P59" s="1"/>
      <c r="Q59" s="1"/>
      <c r="R59" s="1"/>
      <c r="S59" s="1"/>
      <c r="T59" s="1"/>
      <c r="U59" s="1"/>
      <c r="V59" s="1"/>
      <c r="W59" s="1"/>
      <c r="X59" s="1"/>
      <c r="Y59" s="1"/>
      <c r="Z59" s="1"/>
    </row>
    <row r="60" customFormat="false" ht="15.75" hidden="false" customHeight="true" outlineLevel="0" collapsed="false">
      <c r="G60" s="1"/>
      <c r="H60" s="1"/>
      <c r="I60" s="1"/>
      <c r="J60" s="1"/>
      <c r="K60" s="1"/>
      <c r="L60" s="1"/>
      <c r="M60" s="1"/>
      <c r="N60" s="1"/>
      <c r="O60" s="1"/>
      <c r="P60" s="1"/>
      <c r="Q60" s="1"/>
      <c r="R60" s="1"/>
      <c r="S60" s="1"/>
      <c r="T60" s="1"/>
      <c r="U60" s="1"/>
      <c r="V60" s="1"/>
      <c r="W60" s="1"/>
      <c r="X60" s="1"/>
      <c r="Y60" s="1"/>
      <c r="Z60" s="1"/>
    </row>
    <row r="61" customFormat="false" ht="15.75" hidden="false" customHeight="true" outlineLevel="0" collapsed="false">
      <c r="G61" s="1"/>
      <c r="H61" s="1"/>
      <c r="I61" s="1"/>
      <c r="J61" s="1"/>
      <c r="K61" s="1"/>
      <c r="L61" s="1"/>
      <c r="M61" s="1"/>
      <c r="N61" s="1"/>
      <c r="O61" s="1"/>
      <c r="P61" s="1"/>
      <c r="Q61" s="1"/>
      <c r="R61" s="1"/>
      <c r="S61" s="1"/>
      <c r="T61" s="1"/>
      <c r="U61" s="1"/>
      <c r="V61" s="1"/>
      <c r="W61" s="1"/>
      <c r="X61" s="1"/>
      <c r="Y61" s="1"/>
      <c r="Z61" s="1"/>
    </row>
    <row r="62" customFormat="false" ht="15.75" hidden="false" customHeight="true" outlineLevel="0" collapsed="false">
      <c r="G62" s="1"/>
      <c r="H62" s="1"/>
      <c r="I62" s="1"/>
      <c r="J62" s="1"/>
      <c r="K62" s="1"/>
      <c r="L62" s="1"/>
      <c r="M62" s="1"/>
      <c r="N62" s="1"/>
      <c r="O62" s="1"/>
      <c r="P62" s="1"/>
      <c r="Q62" s="1"/>
      <c r="R62" s="1"/>
      <c r="S62" s="1"/>
      <c r="T62" s="1"/>
      <c r="U62" s="1"/>
      <c r="V62" s="1"/>
      <c r="W62" s="1"/>
      <c r="X62" s="1"/>
      <c r="Y62" s="1"/>
      <c r="Z62" s="1"/>
    </row>
    <row r="63" customFormat="false" ht="15.75" hidden="false" customHeight="true" outlineLevel="0" collapsed="false">
      <c r="G63" s="1"/>
      <c r="H63" s="1"/>
      <c r="I63" s="1"/>
      <c r="J63" s="1"/>
      <c r="K63" s="1"/>
      <c r="L63" s="1"/>
      <c r="M63" s="1"/>
      <c r="N63" s="1"/>
      <c r="O63" s="1"/>
      <c r="P63" s="1"/>
      <c r="Q63" s="1"/>
      <c r="R63" s="1"/>
      <c r="S63" s="1"/>
      <c r="T63" s="1"/>
      <c r="U63" s="1"/>
      <c r="V63" s="1"/>
      <c r="W63" s="1"/>
      <c r="X63" s="1"/>
      <c r="Y63" s="1"/>
      <c r="Z63" s="1"/>
    </row>
    <row r="64" customFormat="false" ht="15.75" hidden="false" customHeight="true" outlineLevel="0" collapsed="false">
      <c r="G64" s="1"/>
      <c r="H64" s="1"/>
      <c r="I64" s="1"/>
      <c r="J64" s="1"/>
      <c r="K64" s="1"/>
      <c r="L64" s="1"/>
      <c r="M64" s="1"/>
      <c r="N64" s="1"/>
      <c r="O64" s="1"/>
      <c r="P64" s="1"/>
      <c r="Q64" s="1"/>
      <c r="R64" s="1"/>
      <c r="S64" s="1"/>
      <c r="T64" s="1"/>
      <c r="U64" s="1"/>
      <c r="V64" s="1"/>
      <c r="W64" s="1"/>
      <c r="X64" s="1"/>
      <c r="Y64" s="1"/>
      <c r="Z64" s="1"/>
    </row>
    <row r="65" customFormat="false" ht="15.75" hidden="false" customHeight="true" outlineLevel="0" collapsed="false">
      <c r="G65" s="1"/>
      <c r="H65" s="1"/>
      <c r="I65" s="1"/>
      <c r="J65" s="1"/>
      <c r="K65" s="1"/>
      <c r="L65" s="1"/>
      <c r="M65" s="1"/>
      <c r="N65" s="1"/>
      <c r="O65" s="1"/>
      <c r="P65" s="1"/>
      <c r="Q65" s="1"/>
      <c r="R65" s="1"/>
      <c r="S65" s="1"/>
      <c r="T65" s="1"/>
      <c r="U65" s="1"/>
      <c r="V65" s="1"/>
      <c r="W65" s="1"/>
      <c r="X65" s="1"/>
      <c r="Y65" s="1"/>
      <c r="Z65" s="1"/>
    </row>
    <row r="66" customFormat="false" ht="15.75" hidden="false" customHeight="true" outlineLevel="0" collapsed="false">
      <c r="G66" s="1"/>
      <c r="H66" s="1"/>
      <c r="I66" s="1"/>
      <c r="J66" s="1"/>
      <c r="K66" s="1"/>
      <c r="L66" s="1"/>
      <c r="M66" s="1"/>
      <c r="N66" s="1"/>
      <c r="O66" s="1"/>
      <c r="P66" s="1"/>
      <c r="Q66" s="1"/>
      <c r="R66" s="1"/>
      <c r="S66" s="1"/>
      <c r="T66" s="1"/>
      <c r="U66" s="1"/>
      <c r="V66" s="1"/>
      <c r="W66" s="1"/>
      <c r="X66" s="1"/>
      <c r="Y66" s="1"/>
      <c r="Z66" s="1"/>
    </row>
    <row r="67" customFormat="false" ht="15.75" hidden="false" customHeight="true" outlineLevel="0" collapsed="false">
      <c r="G67" s="1"/>
      <c r="H67" s="1"/>
      <c r="I67" s="1"/>
      <c r="J67" s="1"/>
      <c r="K67" s="1"/>
      <c r="L67" s="1"/>
      <c r="M67" s="1"/>
      <c r="N67" s="1"/>
      <c r="O67" s="1"/>
      <c r="P67" s="1"/>
      <c r="Q67" s="1"/>
      <c r="R67" s="1"/>
      <c r="S67" s="1"/>
      <c r="T67" s="1"/>
      <c r="U67" s="1"/>
      <c r="V67" s="1"/>
      <c r="W67" s="1"/>
      <c r="X67" s="1"/>
      <c r="Y67" s="1"/>
      <c r="Z67" s="1"/>
    </row>
    <row r="68" customFormat="false" ht="15.75" hidden="false" customHeight="true" outlineLevel="0" collapsed="false">
      <c r="G68" s="1"/>
      <c r="H68" s="1"/>
      <c r="I68" s="1"/>
      <c r="J68" s="1"/>
      <c r="K68" s="1"/>
      <c r="L68" s="1"/>
      <c r="M68" s="1"/>
      <c r="N68" s="1"/>
      <c r="O68" s="1"/>
      <c r="P68" s="1"/>
      <c r="Q68" s="1"/>
      <c r="R68" s="1"/>
      <c r="S68" s="1"/>
      <c r="T68" s="1"/>
      <c r="U68" s="1"/>
      <c r="V68" s="1"/>
      <c r="W68" s="1"/>
      <c r="X68" s="1"/>
      <c r="Y68" s="1"/>
      <c r="Z68" s="1"/>
    </row>
    <row r="69" customFormat="false" ht="15.75" hidden="false" customHeight="true" outlineLevel="0" collapsed="false">
      <c r="G69" s="1"/>
      <c r="H69" s="1"/>
      <c r="I69" s="1"/>
      <c r="J69" s="1"/>
      <c r="K69" s="1"/>
      <c r="L69" s="1"/>
      <c r="M69" s="1"/>
      <c r="N69" s="1"/>
      <c r="O69" s="1"/>
      <c r="P69" s="1"/>
      <c r="Q69" s="1"/>
      <c r="R69" s="1"/>
      <c r="S69" s="1"/>
      <c r="T69" s="1"/>
      <c r="U69" s="1"/>
      <c r="V69" s="1"/>
      <c r="W69" s="1"/>
      <c r="X69" s="1"/>
      <c r="Y69" s="1"/>
      <c r="Z69" s="1"/>
    </row>
    <row r="70" customFormat="false" ht="15.75" hidden="false" customHeight="true" outlineLevel="0" collapsed="false">
      <c r="G70" s="1"/>
      <c r="H70" s="1"/>
      <c r="I70" s="1"/>
      <c r="J70" s="1"/>
      <c r="K70" s="1"/>
      <c r="L70" s="1"/>
      <c r="M70" s="1"/>
      <c r="N70" s="1"/>
      <c r="O70" s="1"/>
      <c r="P70" s="1"/>
      <c r="Q70" s="1"/>
      <c r="R70" s="1"/>
      <c r="S70" s="1"/>
      <c r="T70" s="1"/>
      <c r="U70" s="1"/>
      <c r="V70" s="1"/>
      <c r="W70" s="1"/>
      <c r="X70" s="1"/>
      <c r="Y70" s="1"/>
      <c r="Z70" s="1"/>
    </row>
    <row r="71" customFormat="false" ht="15.75" hidden="false" customHeight="true" outlineLevel="0" collapsed="false">
      <c r="G71" s="1"/>
      <c r="H71" s="1"/>
      <c r="I71" s="1"/>
      <c r="J71" s="1"/>
      <c r="K71" s="1"/>
      <c r="L71" s="1"/>
      <c r="M71" s="1"/>
      <c r="N71" s="1"/>
      <c r="O71" s="1"/>
      <c r="P71" s="1"/>
      <c r="Q71" s="1"/>
      <c r="R71" s="1"/>
      <c r="S71" s="1"/>
      <c r="T71" s="1"/>
      <c r="U71" s="1"/>
      <c r="V71" s="1"/>
      <c r="W71" s="1"/>
      <c r="X71" s="1"/>
      <c r="Y71" s="1"/>
      <c r="Z71" s="1"/>
    </row>
    <row r="72" customFormat="false" ht="15.75" hidden="false" customHeight="true" outlineLevel="0" collapsed="false">
      <c r="G72" s="1"/>
      <c r="H72" s="1"/>
      <c r="I72" s="1"/>
      <c r="J72" s="1"/>
      <c r="K72" s="1"/>
      <c r="L72" s="1"/>
      <c r="M72" s="1"/>
      <c r="N72" s="1"/>
      <c r="O72" s="1"/>
      <c r="P72" s="1"/>
      <c r="Q72" s="1"/>
      <c r="R72" s="1"/>
      <c r="S72" s="1"/>
      <c r="T72" s="1"/>
      <c r="U72" s="1"/>
      <c r="V72" s="1"/>
      <c r="W72" s="1"/>
      <c r="X72" s="1"/>
      <c r="Y72" s="1"/>
      <c r="Z72" s="1"/>
    </row>
    <row r="73" customFormat="false" ht="15.75" hidden="false" customHeight="true" outlineLevel="0" collapsed="false">
      <c r="G73" s="1"/>
      <c r="H73" s="1"/>
      <c r="I73" s="1"/>
      <c r="J73" s="1"/>
      <c r="K73" s="1"/>
      <c r="L73" s="1"/>
      <c r="M73" s="1"/>
      <c r="N73" s="1"/>
      <c r="O73" s="1"/>
      <c r="P73" s="1"/>
      <c r="Q73" s="1"/>
      <c r="R73" s="1"/>
      <c r="S73" s="1"/>
      <c r="T73" s="1"/>
      <c r="U73" s="1"/>
      <c r="V73" s="1"/>
      <c r="W73" s="1"/>
      <c r="X73" s="1"/>
      <c r="Y73" s="1"/>
      <c r="Z73" s="1"/>
    </row>
    <row r="74" customFormat="false" ht="15.75" hidden="false" customHeight="true" outlineLevel="0" collapsed="false">
      <c r="G74" s="1"/>
      <c r="H74" s="1"/>
      <c r="I74" s="1"/>
      <c r="J74" s="1"/>
      <c r="K74" s="1"/>
      <c r="L74" s="1"/>
      <c r="M74" s="1"/>
      <c r="N74" s="1"/>
      <c r="O74" s="1"/>
      <c r="P74" s="1"/>
      <c r="Q74" s="1"/>
      <c r="R74" s="1"/>
      <c r="S74" s="1"/>
      <c r="T74" s="1"/>
      <c r="U74" s="1"/>
      <c r="V74" s="1"/>
      <c r="W74" s="1"/>
      <c r="X74" s="1"/>
      <c r="Y74" s="1"/>
      <c r="Z74" s="1"/>
    </row>
    <row r="75" customFormat="false" ht="15.75" hidden="false" customHeight="true" outlineLevel="0" collapsed="false">
      <c r="G75" s="1"/>
      <c r="H75" s="1"/>
      <c r="I75" s="1"/>
      <c r="J75" s="1"/>
      <c r="K75" s="1"/>
      <c r="L75" s="1"/>
      <c r="M75" s="1"/>
      <c r="N75" s="1"/>
      <c r="O75" s="1"/>
      <c r="P75" s="1"/>
      <c r="Q75" s="1"/>
      <c r="R75" s="1"/>
      <c r="S75" s="1"/>
      <c r="T75" s="1"/>
      <c r="U75" s="1"/>
      <c r="V75" s="1"/>
      <c r="W75" s="1"/>
      <c r="X75" s="1"/>
      <c r="Y75" s="1"/>
      <c r="Z75" s="1"/>
    </row>
    <row r="76" customFormat="false" ht="15.75" hidden="false" customHeight="true" outlineLevel="0" collapsed="false">
      <c r="G76" s="1"/>
      <c r="H76" s="1"/>
      <c r="I76" s="1"/>
      <c r="J76" s="1"/>
      <c r="K76" s="1"/>
      <c r="L76" s="1"/>
      <c r="M76" s="1"/>
      <c r="N76" s="1"/>
      <c r="O76" s="1"/>
      <c r="P76" s="1"/>
      <c r="Q76" s="1"/>
      <c r="R76" s="1"/>
      <c r="S76" s="1"/>
      <c r="T76" s="1"/>
      <c r="U76" s="1"/>
      <c r="V76" s="1"/>
      <c r="W76" s="1"/>
      <c r="X76" s="1"/>
      <c r="Y76" s="1"/>
      <c r="Z76" s="1"/>
    </row>
    <row r="77" customFormat="false" ht="15.75" hidden="false" customHeight="true" outlineLevel="0" collapsed="false">
      <c r="G77" s="1"/>
      <c r="H77" s="1"/>
      <c r="I77" s="1"/>
      <c r="J77" s="1"/>
      <c r="K77" s="1"/>
      <c r="L77" s="1"/>
      <c r="M77" s="1"/>
      <c r="N77" s="1"/>
      <c r="O77" s="1"/>
      <c r="P77" s="1"/>
      <c r="Q77" s="1"/>
      <c r="R77" s="1"/>
      <c r="S77" s="1"/>
      <c r="T77" s="1"/>
      <c r="U77" s="1"/>
      <c r="V77" s="1"/>
      <c r="W77" s="1"/>
      <c r="X77" s="1"/>
      <c r="Y77" s="1"/>
      <c r="Z77" s="1"/>
    </row>
    <row r="78" customFormat="false" ht="15.75" hidden="false" customHeight="true" outlineLevel="0" collapsed="false">
      <c r="G78" s="1"/>
      <c r="H78" s="1"/>
      <c r="I78" s="1"/>
      <c r="J78" s="1"/>
      <c r="K78" s="1"/>
      <c r="L78" s="1"/>
      <c r="M78" s="1"/>
      <c r="N78" s="1"/>
      <c r="O78" s="1"/>
      <c r="P78" s="1"/>
      <c r="Q78" s="1"/>
      <c r="R78" s="1"/>
      <c r="S78" s="1"/>
      <c r="T78" s="1"/>
      <c r="U78" s="1"/>
      <c r="V78" s="1"/>
      <c r="W78" s="1"/>
      <c r="X78" s="1"/>
      <c r="Y78" s="1"/>
      <c r="Z78" s="1"/>
    </row>
    <row r="79" customFormat="false" ht="15.75" hidden="false" customHeight="true" outlineLevel="0" collapsed="false">
      <c r="G79" s="1"/>
      <c r="H79" s="1"/>
      <c r="I79" s="1"/>
      <c r="J79" s="1"/>
      <c r="K79" s="1"/>
      <c r="L79" s="1"/>
      <c r="M79" s="1"/>
      <c r="N79" s="1"/>
      <c r="O79" s="1"/>
      <c r="P79" s="1"/>
      <c r="Q79" s="1"/>
      <c r="R79" s="1"/>
      <c r="S79" s="1"/>
      <c r="T79" s="1"/>
      <c r="U79" s="1"/>
      <c r="V79" s="1"/>
      <c r="W79" s="1"/>
      <c r="X79" s="1"/>
      <c r="Y79" s="1"/>
      <c r="Z79" s="1"/>
    </row>
    <row r="80" customFormat="false" ht="15.75" hidden="false" customHeight="true" outlineLevel="0" collapsed="false">
      <c r="G80" s="1"/>
      <c r="H80" s="1"/>
      <c r="I80" s="1"/>
      <c r="J80" s="1"/>
      <c r="K80" s="1"/>
      <c r="L80" s="1"/>
      <c r="M80" s="1"/>
      <c r="N80" s="1"/>
      <c r="O80" s="1"/>
      <c r="P80" s="1"/>
      <c r="Q80" s="1"/>
      <c r="R80" s="1"/>
      <c r="S80" s="1"/>
      <c r="T80" s="1"/>
      <c r="U80" s="1"/>
      <c r="V80" s="1"/>
      <c r="W80" s="1"/>
      <c r="X80" s="1"/>
      <c r="Y80" s="1"/>
      <c r="Z80" s="1"/>
    </row>
    <row r="81" customFormat="false" ht="15.75" hidden="false" customHeight="true" outlineLevel="0" collapsed="false">
      <c r="G81" s="1"/>
      <c r="H81" s="1"/>
      <c r="I81" s="1"/>
      <c r="J81" s="1"/>
      <c r="K81" s="1"/>
      <c r="L81" s="1"/>
      <c r="M81" s="1"/>
      <c r="N81" s="1"/>
      <c r="O81" s="1"/>
      <c r="P81" s="1"/>
      <c r="Q81" s="1"/>
      <c r="R81" s="1"/>
      <c r="S81" s="1"/>
      <c r="T81" s="1"/>
      <c r="U81" s="1"/>
      <c r="V81" s="1"/>
      <c r="W81" s="1"/>
      <c r="X81" s="1"/>
      <c r="Y81" s="1"/>
      <c r="Z81" s="1"/>
    </row>
    <row r="82" customFormat="false" ht="15.75" hidden="false" customHeight="true" outlineLevel="0" collapsed="false">
      <c r="G82" s="1"/>
      <c r="H82" s="1"/>
      <c r="I82" s="1"/>
      <c r="J82" s="1"/>
      <c r="K82" s="1"/>
      <c r="L82" s="1"/>
      <c r="M82" s="1"/>
      <c r="N82" s="1"/>
      <c r="O82" s="1"/>
      <c r="P82" s="1"/>
      <c r="Q82" s="1"/>
      <c r="R82" s="1"/>
      <c r="S82" s="1"/>
      <c r="T82" s="1"/>
      <c r="U82" s="1"/>
      <c r="V82" s="1"/>
      <c r="W82" s="1"/>
      <c r="X82" s="1"/>
      <c r="Y82" s="1"/>
      <c r="Z82" s="1"/>
    </row>
    <row r="83" customFormat="false" ht="15.75" hidden="false" customHeight="true" outlineLevel="0" collapsed="false">
      <c r="G83" s="1"/>
      <c r="H83" s="1"/>
      <c r="I83" s="1"/>
      <c r="J83" s="1"/>
      <c r="K83" s="1"/>
      <c r="L83" s="1"/>
      <c r="M83" s="1"/>
      <c r="N83" s="1"/>
      <c r="O83" s="1"/>
      <c r="P83" s="1"/>
      <c r="Q83" s="1"/>
      <c r="R83" s="1"/>
      <c r="S83" s="1"/>
      <c r="T83" s="1"/>
      <c r="U83" s="1"/>
      <c r="V83" s="1"/>
      <c r="W83" s="1"/>
      <c r="X83" s="1"/>
      <c r="Y83" s="1"/>
      <c r="Z83" s="1"/>
    </row>
    <row r="84" customFormat="false" ht="15.75" hidden="false" customHeight="true" outlineLevel="0" collapsed="false">
      <c r="G84" s="1"/>
      <c r="H84" s="1"/>
      <c r="I84" s="1"/>
      <c r="J84" s="1"/>
      <c r="K84" s="1"/>
      <c r="L84" s="1"/>
      <c r="M84" s="1"/>
      <c r="N84" s="1"/>
      <c r="O84" s="1"/>
      <c r="P84" s="1"/>
      <c r="Q84" s="1"/>
      <c r="R84" s="1"/>
      <c r="S84" s="1"/>
      <c r="T84" s="1"/>
      <c r="U84" s="1"/>
      <c r="V84" s="1"/>
      <c r="W84" s="1"/>
      <c r="X84" s="1"/>
      <c r="Y84" s="1"/>
      <c r="Z84" s="1"/>
    </row>
    <row r="85" customFormat="false" ht="15.75" hidden="false" customHeight="true" outlineLevel="0" collapsed="false">
      <c r="G85" s="1"/>
      <c r="H85" s="1"/>
      <c r="I85" s="1"/>
      <c r="J85" s="1"/>
      <c r="K85" s="1"/>
      <c r="L85" s="1"/>
      <c r="M85" s="1"/>
      <c r="N85" s="1"/>
      <c r="O85" s="1"/>
      <c r="P85" s="1"/>
      <c r="Q85" s="1"/>
      <c r="R85" s="1"/>
      <c r="S85" s="1"/>
      <c r="T85" s="1"/>
      <c r="U85" s="1"/>
      <c r="V85" s="1"/>
      <c r="W85" s="1"/>
      <c r="X85" s="1"/>
      <c r="Y85" s="1"/>
      <c r="Z85" s="1"/>
    </row>
    <row r="86" customFormat="false" ht="15.75" hidden="false" customHeight="true" outlineLevel="0" collapsed="false">
      <c r="G86" s="1"/>
      <c r="H86" s="1"/>
      <c r="I86" s="1"/>
      <c r="J86" s="1"/>
      <c r="K86" s="1"/>
      <c r="L86" s="1"/>
      <c r="M86" s="1"/>
      <c r="N86" s="1"/>
      <c r="O86" s="1"/>
      <c r="P86" s="1"/>
      <c r="Q86" s="1"/>
      <c r="R86" s="1"/>
      <c r="S86" s="1"/>
      <c r="T86" s="1"/>
      <c r="U86" s="1"/>
      <c r="V86" s="1"/>
      <c r="W86" s="1"/>
      <c r="X86" s="1"/>
      <c r="Y86" s="1"/>
      <c r="Z86" s="1"/>
    </row>
    <row r="87" customFormat="false" ht="15.75" hidden="false" customHeight="true" outlineLevel="0" collapsed="false">
      <c r="G87" s="1"/>
      <c r="H87" s="1"/>
      <c r="I87" s="1"/>
      <c r="J87" s="1"/>
      <c r="K87" s="1"/>
      <c r="L87" s="1"/>
      <c r="M87" s="1"/>
      <c r="N87" s="1"/>
      <c r="O87" s="1"/>
      <c r="P87" s="1"/>
      <c r="Q87" s="1"/>
      <c r="R87" s="1"/>
      <c r="S87" s="1"/>
      <c r="T87" s="1"/>
      <c r="U87" s="1"/>
      <c r="V87" s="1"/>
      <c r="W87" s="1"/>
      <c r="X87" s="1"/>
      <c r="Y87" s="1"/>
      <c r="Z87" s="1"/>
    </row>
    <row r="88" customFormat="false" ht="15.75" hidden="false" customHeight="true" outlineLevel="0" collapsed="false">
      <c r="G88" s="1"/>
      <c r="H88" s="1"/>
      <c r="I88" s="1"/>
      <c r="J88" s="1"/>
      <c r="K88" s="1"/>
      <c r="L88" s="1"/>
      <c r="M88" s="1"/>
      <c r="N88" s="1"/>
      <c r="O88" s="1"/>
      <c r="P88" s="1"/>
      <c r="Q88" s="1"/>
      <c r="R88" s="1"/>
      <c r="S88" s="1"/>
      <c r="T88" s="1"/>
      <c r="U88" s="1"/>
      <c r="V88" s="1"/>
      <c r="W88" s="1"/>
      <c r="X88" s="1"/>
      <c r="Y88" s="1"/>
      <c r="Z88" s="1"/>
    </row>
    <row r="89" customFormat="false" ht="15.75" hidden="false" customHeight="true" outlineLevel="0" collapsed="false">
      <c r="G89" s="1"/>
      <c r="H89" s="1"/>
      <c r="I89" s="1"/>
      <c r="J89" s="1"/>
      <c r="K89" s="1"/>
      <c r="L89" s="1"/>
      <c r="M89" s="1"/>
      <c r="N89" s="1"/>
      <c r="O89" s="1"/>
      <c r="P89" s="1"/>
      <c r="Q89" s="1"/>
      <c r="R89" s="1"/>
      <c r="S89" s="1"/>
      <c r="T89" s="1"/>
      <c r="U89" s="1"/>
      <c r="V89" s="1"/>
      <c r="W89" s="1"/>
      <c r="X89" s="1"/>
      <c r="Y89" s="1"/>
      <c r="Z89" s="1"/>
    </row>
    <row r="90" customFormat="false" ht="15.75" hidden="false" customHeight="true" outlineLevel="0" collapsed="false">
      <c r="G90" s="1"/>
      <c r="H90" s="1"/>
      <c r="I90" s="1"/>
      <c r="J90" s="1"/>
      <c r="K90" s="1"/>
      <c r="L90" s="1"/>
      <c r="M90" s="1"/>
      <c r="N90" s="1"/>
      <c r="O90" s="1"/>
      <c r="P90" s="1"/>
      <c r="Q90" s="1"/>
      <c r="R90" s="1"/>
      <c r="S90" s="1"/>
      <c r="T90" s="1"/>
      <c r="U90" s="1"/>
      <c r="V90" s="1"/>
      <c r="W90" s="1"/>
      <c r="X90" s="1"/>
      <c r="Y90" s="1"/>
      <c r="Z90" s="1"/>
    </row>
    <row r="91" customFormat="false" ht="15.75" hidden="false" customHeight="true" outlineLevel="0" collapsed="false">
      <c r="G91" s="1"/>
      <c r="H91" s="1"/>
      <c r="I91" s="1"/>
      <c r="J91" s="1"/>
      <c r="K91" s="1"/>
      <c r="L91" s="1"/>
      <c r="M91" s="1"/>
      <c r="N91" s="1"/>
      <c r="O91" s="1"/>
      <c r="P91" s="1"/>
      <c r="Q91" s="1"/>
      <c r="R91" s="1"/>
      <c r="S91" s="1"/>
      <c r="T91" s="1"/>
      <c r="U91" s="1"/>
      <c r="V91" s="1"/>
      <c r="W91" s="1"/>
      <c r="X91" s="1"/>
      <c r="Y91" s="1"/>
      <c r="Z91" s="1"/>
    </row>
    <row r="92" customFormat="false" ht="15.75" hidden="false" customHeight="true" outlineLevel="0" collapsed="false">
      <c r="G92" s="1"/>
      <c r="H92" s="1"/>
      <c r="I92" s="1"/>
      <c r="J92" s="1"/>
      <c r="K92" s="1"/>
      <c r="L92" s="1"/>
      <c r="M92" s="1"/>
      <c r="N92" s="1"/>
      <c r="O92" s="1"/>
      <c r="P92" s="1"/>
      <c r="Q92" s="1"/>
      <c r="R92" s="1"/>
      <c r="S92" s="1"/>
      <c r="T92" s="1"/>
      <c r="U92" s="1"/>
      <c r="V92" s="1"/>
      <c r="W92" s="1"/>
      <c r="X92" s="1"/>
      <c r="Y92" s="1"/>
      <c r="Z92" s="1"/>
    </row>
    <row r="93" customFormat="false" ht="15.75" hidden="false" customHeight="true" outlineLevel="0" collapsed="false">
      <c r="G93" s="1"/>
      <c r="H93" s="1"/>
      <c r="I93" s="1"/>
      <c r="J93" s="1"/>
      <c r="K93" s="1"/>
      <c r="L93" s="1"/>
      <c r="M93" s="1"/>
      <c r="N93" s="1"/>
      <c r="O93" s="1"/>
      <c r="P93" s="1"/>
      <c r="Q93" s="1"/>
      <c r="R93" s="1"/>
      <c r="S93" s="1"/>
      <c r="T93" s="1"/>
      <c r="U93" s="1"/>
      <c r="V93" s="1"/>
      <c r="W93" s="1"/>
      <c r="X93" s="1"/>
      <c r="Y93" s="1"/>
      <c r="Z93" s="1"/>
    </row>
    <row r="94" customFormat="false" ht="15.75" hidden="false" customHeight="true" outlineLevel="0" collapsed="false">
      <c r="G94" s="1"/>
      <c r="H94" s="1"/>
      <c r="I94" s="1"/>
      <c r="J94" s="1"/>
      <c r="K94" s="1"/>
      <c r="L94" s="1"/>
      <c r="M94" s="1"/>
      <c r="N94" s="1"/>
      <c r="O94" s="1"/>
      <c r="P94" s="1"/>
      <c r="Q94" s="1"/>
      <c r="R94" s="1"/>
      <c r="S94" s="1"/>
      <c r="T94" s="1"/>
      <c r="U94" s="1"/>
      <c r="V94" s="1"/>
      <c r="W94" s="1"/>
      <c r="X94" s="1"/>
      <c r="Y94" s="1"/>
      <c r="Z94" s="1"/>
    </row>
    <row r="95" customFormat="false" ht="15.75" hidden="false" customHeight="true" outlineLevel="0" collapsed="false">
      <c r="G95" s="1"/>
      <c r="H95" s="1"/>
      <c r="I95" s="1"/>
      <c r="J95" s="1"/>
      <c r="K95" s="1"/>
      <c r="L95" s="1"/>
      <c r="M95" s="1"/>
      <c r="N95" s="1"/>
      <c r="O95" s="1"/>
      <c r="P95" s="1"/>
      <c r="Q95" s="1"/>
      <c r="R95" s="1"/>
      <c r="S95" s="1"/>
      <c r="T95" s="1"/>
      <c r="U95" s="1"/>
      <c r="V95" s="1"/>
      <c r="W95" s="1"/>
      <c r="X95" s="1"/>
      <c r="Y95" s="1"/>
      <c r="Z95" s="1"/>
    </row>
    <row r="96" customFormat="false" ht="15.75" hidden="false" customHeight="true" outlineLevel="0" collapsed="false">
      <c r="G96" s="1"/>
      <c r="H96" s="1"/>
      <c r="I96" s="1"/>
      <c r="J96" s="1"/>
      <c r="K96" s="1"/>
      <c r="L96" s="1"/>
      <c r="M96" s="1"/>
      <c r="N96" s="1"/>
      <c r="O96" s="1"/>
      <c r="P96" s="1"/>
      <c r="Q96" s="1"/>
      <c r="R96" s="1"/>
      <c r="S96" s="1"/>
      <c r="T96" s="1"/>
      <c r="U96" s="1"/>
      <c r="V96" s="1"/>
      <c r="W96" s="1"/>
      <c r="X96" s="1"/>
      <c r="Y96" s="1"/>
      <c r="Z96" s="1"/>
    </row>
    <row r="97" customFormat="false" ht="15.75" hidden="false" customHeight="true" outlineLevel="0" collapsed="false">
      <c r="G97" s="1"/>
      <c r="H97" s="1"/>
      <c r="I97" s="1"/>
      <c r="J97" s="1"/>
      <c r="K97" s="1"/>
      <c r="L97" s="1"/>
      <c r="M97" s="1"/>
      <c r="N97" s="1"/>
      <c r="O97" s="1"/>
      <c r="P97" s="1"/>
      <c r="Q97" s="1"/>
      <c r="R97" s="1"/>
      <c r="S97" s="1"/>
      <c r="T97" s="1"/>
      <c r="U97" s="1"/>
      <c r="V97" s="1"/>
      <c r="W97" s="1"/>
      <c r="X97" s="1"/>
      <c r="Y97" s="1"/>
      <c r="Z97" s="1"/>
    </row>
    <row r="98" customFormat="false" ht="15.75" hidden="false" customHeight="true" outlineLevel="0" collapsed="false">
      <c r="G98" s="1"/>
      <c r="H98" s="1"/>
      <c r="I98" s="1"/>
      <c r="J98" s="1"/>
      <c r="K98" s="1"/>
      <c r="L98" s="1"/>
      <c r="M98" s="1"/>
      <c r="N98" s="1"/>
      <c r="O98" s="1"/>
      <c r="P98" s="1"/>
      <c r="Q98" s="1"/>
      <c r="R98" s="1"/>
      <c r="S98" s="1"/>
      <c r="T98" s="1"/>
      <c r="U98" s="1"/>
      <c r="V98" s="1"/>
      <c r="W98" s="1"/>
      <c r="X98" s="1"/>
      <c r="Y98" s="1"/>
      <c r="Z98" s="1"/>
    </row>
    <row r="99" customFormat="false" ht="15.75" hidden="false" customHeight="true" outlineLevel="0" collapsed="false">
      <c r="G99" s="1"/>
      <c r="H99" s="1"/>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G100" s="1"/>
      <c r="H100" s="1"/>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G101" s="1"/>
      <c r="H101" s="1"/>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G102" s="1"/>
      <c r="H102" s="1"/>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G103" s="1"/>
      <c r="H103" s="1"/>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G104" s="1"/>
      <c r="H104" s="1"/>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G105" s="1"/>
      <c r="H105" s="1"/>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G106" s="1"/>
      <c r="H106" s="1"/>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G107" s="1"/>
      <c r="H107" s="1"/>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G108" s="1"/>
      <c r="H108" s="1"/>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G109" s="1"/>
      <c r="H109" s="1"/>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G110" s="1"/>
      <c r="H110" s="1"/>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G111" s="1"/>
      <c r="H111" s="1"/>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G112" s="1"/>
      <c r="H112" s="1"/>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G113" s="1"/>
      <c r="H113" s="1"/>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G114" s="1"/>
      <c r="H114" s="1"/>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G115" s="1"/>
      <c r="H115" s="1"/>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G116" s="1"/>
      <c r="H116" s="1"/>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G117" s="1"/>
      <c r="H117" s="1"/>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G118" s="1"/>
      <c r="H118" s="1"/>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G119" s="1"/>
      <c r="H119" s="1"/>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G120" s="1"/>
      <c r="H120" s="1"/>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G121" s="1"/>
      <c r="H121" s="1"/>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G122" s="1"/>
      <c r="H122" s="1"/>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G123" s="1"/>
      <c r="H123" s="1"/>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G124" s="1"/>
      <c r="H124" s="1"/>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G125" s="1"/>
      <c r="H125" s="1"/>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G126" s="1"/>
      <c r="H126" s="1"/>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G127" s="1"/>
      <c r="H127" s="1"/>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G128" s="1"/>
      <c r="H128" s="1"/>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G129" s="1"/>
      <c r="H129" s="1"/>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G130" s="1"/>
      <c r="H130" s="1"/>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G131" s="1"/>
      <c r="H131" s="1"/>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G132" s="1"/>
      <c r="H132" s="1"/>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G133" s="1"/>
      <c r="H133" s="1"/>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G134" s="1"/>
      <c r="H134" s="1"/>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G135" s="1"/>
      <c r="H135" s="1"/>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G136" s="1"/>
      <c r="H136" s="1"/>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G137" s="1"/>
      <c r="H137" s="1"/>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G138" s="1"/>
      <c r="H138" s="1"/>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G139" s="1"/>
      <c r="H139" s="1"/>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G140" s="1"/>
      <c r="H140" s="1"/>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G141" s="1"/>
      <c r="H141" s="1"/>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G142" s="1"/>
      <c r="H142" s="1"/>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G143" s="1"/>
      <c r="H143" s="1"/>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G144" s="1"/>
      <c r="H144" s="1"/>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G145" s="1"/>
      <c r="H145" s="1"/>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G146" s="1"/>
      <c r="H146" s="1"/>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G147" s="1"/>
      <c r="H147" s="1"/>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G148" s="1"/>
      <c r="H148" s="1"/>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G149" s="1"/>
      <c r="H149" s="1"/>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G150" s="1"/>
      <c r="H150" s="1"/>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G151" s="1"/>
      <c r="H151" s="1"/>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G152" s="1"/>
      <c r="H152" s="1"/>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G153" s="1"/>
      <c r="H153" s="1"/>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G154" s="1"/>
      <c r="H154" s="1"/>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G155" s="1"/>
      <c r="H155" s="1"/>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G156" s="1"/>
      <c r="H156" s="1"/>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G157" s="1"/>
      <c r="H157" s="1"/>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G158" s="1"/>
      <c r="H158" s="1"/>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G159" s="1"/>
      <c r="H159" s="1"/>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G160" s="1"/>
      <c r="H160" s="1"/>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G161" s="1"/>
      <c r="H161" s="1"/>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G162" s="1"/>
      <c r="H162" s="1"/>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G163" s="1"/>
      <c r="H163" s="1"/>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G164" s="1"/>
      <c r="H164" s="1"/>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G165" s="1"/>
      <c r="H165" s="1"/>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G166" s="1"/>
      <c r="H166" s="1"/>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G167" s="1"/>
      <c r="H167" s="1"/>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G168" s="1"/>
      <c r="H168" s="1"/>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G169" s="1"/>
      <c r="H169" s="1"/>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G170" s="1"/>
      <c r="H170" s="1"/>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G171" s="1"/>
      <c r="H171" s="1"/>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G172" s="1"/>
      <c r="H172" s="1"/>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G173" s="1"/>
      <c r="H173" s="1"/>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G174" s="1"/>
      <c r="H174" s="1"/>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G175" s="1"/>
      <c r="H175" s="1"/>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G176" s="1"/>
      <c r="H176" s="1"/>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G177" s="1"/>
      <c r="H177" s="1"/>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G178" s="1"/>
      <c r="H178" s="1"/>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G179" s="1"/>
      <c r="H179" s="1"/>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G180" s="1"/>
      <c r="H180" s="1"/>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G181" s="1"/>
      <c r="H181" s="1"/>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G182" s="1"/>
      <c r="H182" s="1"/>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G183" s="1"/>
      <c r="H183" s="1"/>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G184" s="1"/>
      <c r="H184" s="1"/>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G185" s="1"/>
      <c r="H185" s="1"/>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G186" s="1"/>
      <c r="H186" s="1"/>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G187" s="1"/>
      <c r="H187" s="1"/>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G188" s="1"/>
      <c r="H188" s="1"/>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G189" s="1"/>
      <c r="H189" s="1"/>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G190" s="1"/>
      <c r="H190" s="1"/>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G191" s="1"/>
      <c r="H191" s="1"/>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G192" s="1"/>
      <c r="H192" s="1"/>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G193" s="1"/>
      <c r="H193" s="1"/>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G194" s="1"/>
      <c r="H194" s="1"/>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G195" s="1"/>
      <c r="H195" s="1"/>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G196" s="1"/>
      <c r="H196" s="1"/>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G197" s="1"/>
      <c r="H197" s="1"/>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G198" s="1"/>
      <c r="H198" s="1"/>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G199" s="1"/>
      <c r="H199" s="1"/>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G200" s="1"/>
      <c r="H200" s="1"/>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G201" s="1"/>
      <c r="H201" s="1"/>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G202" s="1"/>
      <c r="H202" s="1"/>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G203" s="1"/>
      <c r="H203" s="1"/>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G204" s="1"/>
      <c r="H204" s="1"/>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G205" s="1"/>
      <c r="H205" s="1"/>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G206" s="1"/>
      <c r="H206" s="1"/>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G207" s="1"/>
      <c r="H207" s="1"/>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G208" s="1"/>
      <c r="H208" s="1"/>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G209" s="1"/>
      <c r="H209" s="1"/>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G210" s="1"/>
      <c r="H210" s="1"/>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G211" s="1"/>
      <c r="H211" s="1"/>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G212" s="1"/>
      <c r="H212" s="1"/>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G213" s="1"/>
      <c r="H213" s="1"/>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G214" s="1"/>
      <c r="H214" s="1"/>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G215" s="1"/>
      <c r="H215" s="1"/>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G216" s="1"/>
      <c r="H216" s="1"/>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G217" s="1"/>
      <c r="H217" s="1"/>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G218" s="1"/>
      <c r="H218" s="1"/>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G219" s="1"/>
      <c r="H219" s="1"/>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G220" s="1"/>
      <c r="H220" s="1"/>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G221" s="1"/>
      <c r="H221" s="1"/>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G222" s="1"/>
      <c r="H222" s="1"/>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G223" s="1"/>
      <c r="H223" s="1"/>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G224" s="1"/>
      <c r="H224" s="1"/>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G225" s="1"/>
      <c r="H225" s="1"/>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G226" s="1"/>
      <c r="H226" s="1"/>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G227" s="1"/>
      <c r="H227" s="1"/>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G228" s="1"/>
      <c r="H228" s="1"/>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G229" s="1"/>
      <c r="H229" s="1"/>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G230" s="1"/>
      <c r="H230" s="1"/>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G231" s="1"/>
      <c r="H231" s="1"/>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G232" s="1"/>
      <c r="H232" s="1"/>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G233" s="1"/>
      <c r="H233" s="1"/>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G234" s="1"/>
      <c r="H234" s="1"/>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G235" s="1"/>
      <c r="H235" s="1"/>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G236" s="1"/>
      <c r="H236" s="1"/>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G237" s="1"/>
      <c r="H237" s="1"/>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G238" s="1"/>
      <c r="H238" s="1"/>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G239" s="1"/>
      <c r="H239" s="1"/>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G240" s="1"/>
      <c r="H240" s="1"/>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G241" s="1"/>
      <c r="H241" s="1"/>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G242" s="1"/>
      <c r="H242" s="1"/>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G243" s="1"/>
      <c r="H243" s="1"/>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G244" s="1"/>
      <c r="H244" s="1"/>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G245" s="1"/>
      <c r="H245" s="1"/>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G246" s="1"/>
      <c r="H246" s="1"/>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G247" s="1"/>
      <c r="H247" s="1"/>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G248" s="1"/>
      <c r="H248" s="1"/>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G249" s="1"/>
      <c r="H249" s="1"/>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G250" s="1"/>
      <c r="H250" s="1"/>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G251" s="1"/>
      <c r="H251" s="1"/>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G252" s="1"/>
      <c r="H252" s="1"/>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G253" s="1"/>
      <c r="H253" s="1"/>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G254" s="1"/>
      <c r="H254" s="1"/>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G255" s="1"/>
      <c r="H255" s="1"/>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G256" s="1"/>
      <c r="H256" s="1"/>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G257" s="1"/>
      <c r="H257" s="1"/>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G258" s="1"/>
      <c r="H258" s="1"/>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G259" s="1"/>
      <c r="H259" s="1"/>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G260" s="1"/>
      <c r="H260" s="1"/>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G261" s="1"/>
      <c r="H261" s="1"/>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G262" s="1"/>
      <c r="H262" s="1"/>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G263" s="1"/>
      <c r="H263" s="1"/>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G264" s="1"/>
      <c r="H264" s="1"/>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G265" s="1"/>
      <c r="H265" s="1"/>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G266" s="1"/>
      <c r="H266" s="1"/>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G267" s="1"/>
      <c r="H267" s="1"/>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G268" s="1"/>
      <c r="H268" s="1"/>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G269" s="1"/>
      <c r="H269" s="1"/>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G270" s="1"/>
      <c r="H270" s="1"/>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G271" s="1"/>
      <c r="H271" s="1"/>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G272" s="1"/>
      <c r="H272" s="1"/>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G273" s="1"/>
      <c r="H273" s="1"/>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G274" s="1"/>
      <c r="H274" s="1"/>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G275" s="1"/>
      <c r="H275" s="1"/>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G276" s="1"/>
      <c r="H276" s="1"/>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G277" s="1"/>
      <c r="H277" s="1"/>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G278" s="1"/>
      <c r="H278" s="1"/>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G279" s="1"/>
      <c r="H279" s="1"/>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G280" s="1"/>
      <c r="H280" s="1"/>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G281" s="1"/>
      <c r="H281" s="1"/>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G282" s="1"/>
      <c r="H282" s="1"/>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G283" s="1"/>
      <c r="H283" s="1"/>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G284" s="1"/>
      <c r="H284" s="1"/>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G285" s="1"/>
      <c r="H285" s="1"/>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G286" s="1"/>
      <c r="H286" s="1"/>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G287" s="1"/>
      <c r="H287" s="1"/>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G288" s="1"/>
      <c r="H288" s="1"/>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G289" s="1"/>
      <c r="H289" s="1"/>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G290" s="1"/>
      <c r="H290" s="1"/>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G291" s="1"/>
      <c r="H291" s="1"/>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G292" s="1"/>
      <c r="H292" s="1"/>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G293" s="1"/>
      <c r="H293" s="1"/>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G294" s="1"/>
      <c r="H294" s="1"/>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G295" s="1"/>
      <c r="H295" s="1"/>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G296" s="1"/>
      <c r="H296" s="1"/>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G297" s="1"/>
      <c r="H297" s="1"/>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G298" s="1"/>
      <c r="H298" s="1"/>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G299" s="1"/>
      <c r="H299" s="1"/>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G300" s="1"/>
      <c r="H300" s="1"/>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G301" s="1"/>
      <c r="H301" s="1"/>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G302" s="1"/>
      <c r="H302" s="1"/>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G303" s="1"/>
      <c r="H303" s="1"/>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G304" s="1"/>
      <c r="H304" s="1"/>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G305" s="1"/>
      <c r="H305" s="1"/>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G306" s="1"/>
      <c r="H306" s="1"/>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G307" s="1"/>
      <c r="H307" s="1"/>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G308" s="1"/>
      <c r="H308" s="1"/>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G309" s="1"/>
      <c r="H309" s="1"/>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G310" s="1"/>
      <c r="H310" s="1"/>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G311" s="1"/>
      <c r="H311" s="1"/>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G312" s="1"/>
      <c r="H312" s="1"/>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G313" s="1"/>
      <c r="H313" s="1"/>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G314" s="1"/>
      <c r="H314" s="1"/>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G315" s="1"/>
      <c r="H315" s="1"/>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G316" s="1"/>
      <c r="H316" s="1"/>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G317" s="1"/>
      <c r="H317" s="1"/>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G318" s="1"/>
      <c r="H318" s="1"/>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G319" s="1"/>
      <c r="H319" s="1"/>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G320" s="1"/>
      <c r="H320" s="1"/>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G321" s="1"/>
      <c r="H321" s="1"/>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G322" s="1"/>
      <c r="H322" s="1"/>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G323" s="1"/>
      <c r="H323" s="1"/>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G324" s="1"/>
      <c r="H324" s="1"/>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G325" s="1"/>
      <c r="H325" s="1"/>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G326" s="1"/>
      <c r="H326" s="1"/>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G327" s="1"/>
      <c r="H327" s="1"/>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G328" s="1"/>
      <c r="H328" s="1"/>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G329" s="1"/>
      <c r="H329" s="1"/>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G330" s="1"/>
      <c r="H330" s="1"/>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G331" s="1"/>
      <c r="H331" s="1"/>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G332" s="1"/>
      <c r="H332" s="1"/>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G333" s="1"/>
      <c r="H333" s="1"/>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G334" s="1"/>
      <c r="H334" s="1"/>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G335" s="1"/>
      <c r="H335" s="1"/>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G336" s="1"/>
      <c r="H336" s="1"/>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G337" s="1"/>
      <c r="H337" s="1"/>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G338" s="1"/>
      <c r="H338" s="1"/>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G339" s="1"/>
      <c r="H339" s="1"/>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G340" s="1"/>
      <c r="H340" s="1"/>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G341" s="1"/>
      <c r="H341" s="1"/>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G342" s="1"/>
      <c r="H342" s="1"/>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G343" s="1"/>
      <c r="H343" s="1"/>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G344" s="1"/>
      <c r="H344" s="1"/>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G345" s="1"/>
      <c r="H345" s="1"/>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G346" s="1"/>
      <c r="H346" s="1"/>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G347" s="1"/>
      <c r="H347" s="1"/>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G348" s="1"/>
      <c r="H348" s="1"/>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G349" s="1"/>
      <c r="H349" s="1"/>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G350" s="1"/>
      <c r="H350" s="1"/>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G351" s="1"/>
      <c r="H351" s="1"/>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G352" s="1"/>
      <c r="H352" s="1"/>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G353" s="1"/>
      <c r="H353" s="1"/>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G354" s="1"/>
      <c r="H354" s="1"/>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G355" s="1"/>
      <c r="H355" s="1"/>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G356" s="1"/>
      <c r="H356" s="1"/>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G357" s="1"/>
      <c r="H357" s="1"/>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G358" s="1"/>
      <c r="H358" s="1"/>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G359" s="1"/>
      <c r="H359" s="1"/>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G360" s="1"/>
      <c r="H360" s="1"/>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G361" s="1"/>
      <c r="H361" s="1"/>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G362" s="1"/>
      <c r="H362" s="1"/>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G363" s="1"/>
      <c r="H363" s="1"/>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G364" s="1"/>
      <c r="H364" s="1"/>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G365" s="1"/>
      <c r="H365" s="1"/>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G366" s="1"/>
      <c r="H366" s="1"/>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G367" s="1"/>
      <c r="H367" s="1"/>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G368" s="1"/>
      <c r="H368" s="1"/>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G369" s="1"/>
      <c r="H369" s="1"/>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G370" s="1"/>
      <c r="H370" s="1"/>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G371" s="1"/>
      <c r="H371" s="1"/>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G372" s="1"/>
      <c r="H372" s="1"/>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G373" s="1"/>
      <c r="H373" s="1"/>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G374" s="1"/>
      <c r="H374" s="1"/>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G375" s="1"/>
      <c r="H375" s="1"/>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G376" s="1"/>
      <c r="H376" s="1"/>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G377" s="1"/>
      <c r="H377" s="1"/>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G378" s="1"/>
      <c r="H378" s="1"/>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G379" s="1"/>
      <c r="H379" s="1"/>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G380" s="1"/>
      <c r="H380" s="1"/>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G381" s="1"/>
      <c r="H381" s="1"/>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G382" s="1"/>
      <c r="H382" s="1"/>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G383" s="1"/>
      <c r="H383" s="1"/>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G384" s="1"/>
      <c r="H384" s="1"/>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G385" s="1"/>
      <c r="H385" s="1"/>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G386" s="1"/>
      <c r="H386" s="1"/>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G387" s="1"/>
      <c r="H387" s="1"/>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G388" s="1"/>
      <c r="H388" s="1"/>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G389" s="1"/>
      <c r="H389" s="1"/>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G390" s="1"/>
      <c r="H390" s="1"/>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G391" s="1"/>
      <c r="H391" s="1"/>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G392" s="1"/>
      <c r="H392" s="1"/>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G393" s="1"/>
      <c r="H393" s="1"/>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G394" s="1"/>
      <c r="H394" s="1"/>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G395" s="1"/>
      <c r="H395" s="1"/>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G396" s="1"/>
      <c r="H396" s="1"/>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G397" s="1"/>
      <c r="H397" s="1"/>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G398" s="1"/>
      <c r="H398" s="1"/>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G399" s="1"/>
      <c r="H399" s="1"/>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G400" s="1"/>
      <c r="H400" s="1"/>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G401" s="1"/>
      <c r="H401" s="1"/>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G402" s="1"/>
      <c r="H402" s="1"/>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G403" s="1"/>
      <c r="H403" s="1"/>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G404" s="1"/>
      <c r="H404" s="1"/>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G405" s="1"/>
      <c r="H405" s="1"/>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G406" s="1"/>
      <c r="H406" s="1"/>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G407" s="1"/>
      <c r="H407" s="1"/>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G408" s="1"/>
      <c r="H408" s="1"/>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G409" s="1"/>
      <c r="H409" s="1"/>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G410" s="1"/>
      <c r="H410" s="1"/>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G411" s="1"/>
      <c r="H411" s="1"/>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G412" s="1"/>
      <c r="H412" s="1"/>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G413" s="1"/>
      <c r="H413" s="1"/>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G414" s="1"/>
      <c r="H414" s="1"/>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G415" s="1"/>
      <c r="H415" s="1"/>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G416" s="1"/>
      <c r="H416" s="1"/>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G417" s="1"/>
      <c r="H417" s="1"/>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G418" s="1"/>
      <c r="H418" s="1"/>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G419" s="1"/>
      <c r="H419" s="1"/>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G420" s="1"/>
      <c r="H420" s="1"/>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G421" s="1"/>
      <c r="H421" s="1"/>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G422" s="1"/>
      <c r="H422" s="1"/>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G423" s="1"/>
      <c r="H423" s="1"/>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G424" s="1"/>
      <c r="H424" s="1"/>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G425" s="1"/>
      <c r="H425" s="1"/>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G426" s="1"/>
      <c r="H426" s="1"/>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G427" s="1"/>
      <c r="H427" s="1"/>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G428" s="1"/>
      <c r="H428" s="1"/>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G429" s="1"/>
      <c r="H429" s="1"/>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G430" s="1"/>
      <c r="H430" s="1"/>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G431" s="1"/>
      <c r="H431" s="1"/>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G432" s="1"/>
      <c r="H432" s="1"/>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G433" s="1"/>
      <c r="H433" s="1"/>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G434" s="1"/>
      <c r="H434" s="1"/>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G435" s="1"/>
      <c r="H435" s="1"/>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G436" s="1"/>
      <c r="H436" s="1"/>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G437" s="1"/>
      <c r="H437" s="1"/>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G438" s="1"/>
      <c r="H438" s="1"/>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G439" s="1"/>
      <c r="H439" s="1"/>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G440" s="1"/>
      <c r="H440" s="1"/>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G441" s="1"/>
      <c r="H441" s="1"/>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G442" s="1"/>
      <c r="H442" s="1"/>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G443" s="1"/>
      <c r="H443" s="1"/>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G444" s="1"/>
      <c r="H444" s="1"/>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G445" s="1"/>
      <c r="H445" s="1"/>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G446" s="1"/>
      <c r="H446" s="1"/>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G447" s="1"/>
      <c r="H447" s="1"/>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G448" s="1"/>
      <c r="H448" s="1"/>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G449" s="1"/>
      <c r="H449" s="1"/>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G450" s="1"/>
      <c r="H450" s="1"/>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G451" s="1"/>
      <c r="H451" s="1"/>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G452" s="1"/>
      <c r="H452" s="1"/>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G453" s="1"/>
      <c r="H453" s="1"/>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G454" s="1"/>
      <c r="H454" s="1"/>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G455" s="1"/>
      <c r="H455" s="1"/>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G456" s="1"/>
      <c r="H456" s="1"/>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G457" s="1"/>
      <c r="H457" s="1"/>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G458" s="1"/>
      <c r="H458" s="1"/>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G459" s="1"/>
      <c r="H459" s="1"/>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G460" s="1"/>
      <c r="H460" s="1"/>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G461" s="1"/>
      <c r="H461" s="1"/>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G462" s="1"/>
      <c r="H462" s="1"/>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G463" s="1"/>
      <c r="H463" s="1"/>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G464" s="1"/>
      <c r="H464" s="1"/>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G465" s="1"/>
      <c r="H465" s="1"/>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G466" s="1"/>
      <c r="H466" s="1"/>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G467" s="1"/>
      <c r="H467" s="1"/>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G468" s="1"/>
      <c r="H468" s="1"/>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G469" s="1"/>
      <c r="H469" s="1"/>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G470" s="1"/>
      <c r="H470" s="1"/>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G471" s="1"/>
      <c r="H471" s="1"/>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G472" s="1"/>
      <c r="H472" s="1"/>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G473" s="1"/>
      <c r="H473" s="1"/>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G474" s="1"/>
      <c r="H474" s="1"/>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G475" s="1"/>
      <c r="H475" s="1"/>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G476" s="1"/>
      <c r="H476" s="1"/>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G477" s="1"/>
      <c r="H477" s="1"/>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G478" s="1"/>
      <c r="H478" s="1"/>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G479" s="1"/>
      <c r="H479" s="1"/>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G480" s="1"/>
      <c r="H480" s="1"/>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G481" s="1"/>
      <c r="H481" s="1"/>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G482" s="1"/>
      <c r="H482" s="1"/>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G483" s="1"/>
      <c r="H483" s="1"/>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G484" s="1"/>
      <c r="H484" s="1"/>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G485" s="1"/>
      <c r="H485" s="1"/>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G486" s="1"/>
      <c r="H486" s="1"/>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G487" s="1"/>
      <c r="H487" s="1"/>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G488" s="1"/>
      <c r="H488" s="1"/>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G489" s="1"/>
      <c r="H489" s="1"/>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G490" s="1"/>
      <c r="H490" s="1"/>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G491" s="1"/>
      <c r="H491" s="1"/>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G492" s="1"/>
      <c r="H492" s="1"/>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G493" s="1"/>
      <c r="H493" s="1"/>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G494" s="1"/>
      <c r="H494" s="1"/>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G495" s="1"/>
      <c r="H495" s="1"/>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G496" s="1"/>
      <c r="H496" s="1"/>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G497" s="1"/>
      <c r="H497" s="1"/>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G498" s="1"/>
      <c r="H498" s="1"/>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G499" s="1"/>
      <c r="H499" s="1"/>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G500" s="1"/>
      <c r="H500" s="1"/>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G501" s="1"/>
      <c r="H501" s="1"/>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G502" s="1"/>
      <c r="H502" s="1"/>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G503" s="1"/>
      <c r="H503" s="1"/>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G504" s="1"/>
      <c r="H504" s="1"/>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G505" s="1"/>
      <c r="H505" s="1"/>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G506" s="1"/>
      <c r="H506" s="1"/>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G507" s="1"/>
      <c r="H507" s="1"/>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G508" s="1"/>
      <c r="H508" s="1"/>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G509" s="1"/>
      <c r="H509" s="1"/>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G510" s="1"/>
      <c r="H510" s="1"/>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G511" s="1"/>
      <c r="H511" s="1"/>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G512" s="1"/>
      <c r="H512" s="1"/>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G513" s="1"/>
      <c r="H513" s="1"/>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G514" s="1"/>
      <c r="H514" s="1"/>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G515" s="1"/>
      <c r="H515" s="1"/>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G516" s="1"/>
      <c r="H516" s="1"/>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G517" s="1"/>
      <c r="H517" s="1"/>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G518" s="1"/>
      <c r="H518" s="1"/>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G519" s="1"/>
      <c r="H519" s="1"/>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G520" s="1"/>
      <c r="H520" s="1"/>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G521" s="1"/>
      <c r="H521" s="1"/>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G522" s="1"/>
      <c r="H522" s="1"/>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G523" s="1"/>
      <c r="H523" s="1"/>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G524" s="1"/>
      <c r="H524" s="1"/>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G525" s="1"/>
      <c r="H525" s="1"/>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G526" s="1"/>
      <c r="H526" s="1"/>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G527" s="1"/>
      <c r="H527" s="1"/>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G528" s="1"/>
      <c r="H528" s="1"/>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G529" s="1"/>
      <c r="H529" s="1"/>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G530" s="1"/>
      <c r="H530" s="1"/>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G531" s="1"/>
      <c r="H531" s="1"/>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G532" s="1"/>
      <c r="H532" s="1"/>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G533" s="1"/>
      <c r="H533" s="1"/>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G534" s="1"/>
      <c r="H534" s="1"/>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G535" s="1"/>
      <c r="H535" s="1"/>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G536" s="1"/>
      <c r="H536" s="1"/>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G537" s="1"/>
      <c r="H537" s="1"/>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G538" s="1"/>
      <c r="H538" s="1"/>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G539" s="1"/>
      <c r="H539" s="1"/>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G540" s="1"/>
      <c r="H540" s="1"/>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G541" s="1"/>
      <c r="H541" s="1"/>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G542" s="1"/>
      <c r="H542" s="1"/>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G543" s="1"/>
      <c r="H543" s="1"/>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G544" s="1"/>
      <c r="H544" s="1"/>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G545" s="1"/>
      <c r="H545" s="1"/>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G546" s="1"/>
      <c r="H546" s="1"/>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G547" s="1"/>
      <c r="H547" s="1"/>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G548" s="1"/>
      <c r="H548" s="1"/>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G549" s="1"/>
      <c r="H549" s="1"/>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G550" s="1"/>
      <c r="H550" s="1"/>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G551" s="1"/>
      <c r="H551" s="1"/>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G552" s="1"/>
      <c r="H552" s="1"/>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G553" s="1"/>
      <c r="H553" s="1"/>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G554" s="1"/>
      <c r="H554" s="1"/>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G555" s="1"/>
      <c r="H555" s="1"/>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G556" s="1"/>
      <c r="H556" s="1"/>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G557" s="1"/>
      <c r="H557" s="1"/>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G558" s="1"/>
      <c r="H558" s="1"/>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G559" s="1"/>
      <c r="H559" s="1"/>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G560" s="1"/>
      <c r="H560" s="1"/>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G561" s="1"/>
      <c r="H561" s="1"/>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G562" s="1"/>
      <c r="H562" s="1"/>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G563" s="1"/>
      <c r="H563" s="1"/>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G564" s="1"/>
      <c r="H564" s="1"/>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G565" s="1"/>
      <c r="H565" s="1"/>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G566" s="1"/>
      <c r="H566" s="1"/>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G567" s="1"/>
      <c r="H567" s="1"/>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G568" s="1"/>
      <c r="H568" s="1"/>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G569" s="1"/>
      <c r="H569" s="1"/>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G570" s="1"/>
      <c r="H570" s="1"/>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G571" s="1"/>
      <c r="H571" s="1"/>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G572" s="1"/>
      <c r="H572" s="1"/>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G573" s="1"/>
      <c r="H573" s="1"/>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G574" s="1"/>
      <c r="H574" s="1"/>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G575" s="1"/>
      <c r="H575" s="1"/>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G576" s="1"/>
      <c r="H576" s="1"/>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G577" s="1"/>
      <c r="H577" s="1"/>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G578" s="1"/>
      <c r="H578" s="1"/>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G579" s="1"/>
      <c r="H579" s="1"/>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G580" s="1"/>
      <c r="H580" s="1"/>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G581" s="1"/>
      <c r="H581" s="1"/>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G582" s="1"/>
      <c r="H582" s="1"/>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G583" s="1"/>
      <c r="H583" s="1"/>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G584" s="1"/>
      <c r="H584" s="1"/>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G585" s="1"/>
      <c r="H585" s="1"/>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G586" s="1"/>
      <c r="H586" s="1"/>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G587" s="1"/>
      <c r="H587" s="1"/>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G588" s="1"/>
      <c r="H588" s="1"/>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G589" s="1"/>
      <c r="H589" s="1"/>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G590" s="1"/>
      <c r="H590" s="1"/>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G591" s="1"/>
      <c r="H591" s="1"/>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G592" s="1"/>
      <c r="H592" s="1"/>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G593" s="1"/>
      <c r="H593" s="1"/>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G594" s="1"/>
      <c r="H594" s="1"/>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G595" s="1"/>
      <c r="H595" s="1"/>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G596" s="1"/>
      <c r="H596" s="1"/>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G597" s="1"/>
      <c r="H597" s="1"/>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G598" s="1"/>
      <c r="H598" s="1"/>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G599" s="1"/>
      <c r="H599" s="1"/>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G600" s="1"/>
      <c r="H600" s="1"/>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G601" s="1"/>
      <c r="H601" s="1"/>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G602" s="1"/>
      <c r="H602" s="1"/>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G603" s="1"/>
      <c r="H603" s="1"/>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G604" s="1"/>
      <c r="H604" s="1"/>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G605" s="1"/>
      <c r="H605" s="1"/>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G606" s="1"/>
      <c r="H606" s="1"/>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G607" s="1"/>
      <c r="H607" s="1"/>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G608" s="1"/>
      <c r="H608" s="1"/>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G609" s="1"/>
      <c r="H609" s="1"/>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G610" s="1"/>
      <c r="H610" s="1"/>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G611" s="1"/>
      <c r="H611" s="1"/>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G612" s="1"/>
      <c r="H612" s="1"/>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G613" s="1"/>
      <c r="H613" s="1"/>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G614" s="1"/>
      <c r="H614" s="1"/>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G615" s="1"/>
      <c r="H615" s="1"/>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G616" s="1"/>
      <c r="H616" s="1"/>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G617" s="1"/>
      <c r="H617" s="1"/>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G618" s="1"/>
      <c r="H618" s="1"/>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G619" s="1"/>
      <c r="H619" s="1"/>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G620" s="1"/>
      <c r="H620" s="1"/>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G621" s="1"/>
      <c r="H621" s="1"/>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G622" s="1"/>
      <c r="H622" s="1"/>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G623" s="1"/>
      <c r="H623" s="1"/>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G624" s="1"/>
      <c r="H624" s="1"/>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G625" s="1"/>
      <c r="H625" s="1"/>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G626" s="1"/>
      <c r="H626" s="1"/>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G627" s="1"/>
      <c r="H627" s="1"/>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G628" s="1"/>
      <c r="H628" s="1"/>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G629" s="1"/>
      <c r="H629" s="1"/>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G630" s="1"/>
      <c r="H630" s="1"/>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G631" s="1"/>
      <c r="H631" s="1"/>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G632" s="1"/>
      <c r="H632" s="1"/>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G633" s="1"/>
      <c r="H633" s="1"/>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G634" s="1"/>
      <c r="H634" s="1"/>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G635" s="1"/>
      <c r="H635" s="1"/>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G636" s="1"/>
      <c r="H636" s="1"/>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G637" s="1"/>
      <c r="H637" s="1"/>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G638" s="1"/>
      <c r="H638" s="1"/>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G639" s="1"/>
      <c r="H639" s="1"/>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G640" s="1"/>
      <c r="H640" s="1"/>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G641" s="1"/>
      <c r="H641" s="1"/>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G642" s="1"/>
      <c r="H642" s="1"/>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G643" s="1"/>
      <c r="H643" s="1"/>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G644" s="1"/>
      <c r="H644" s="1"/>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G645" s="1"/>
      <c r="H645" s="1"/>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G646" s="1"/>
      <c r="H646" s="1"/>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G647" s="1"/>
      <c r="H647" s="1"/>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G648" s="1"/>
      <c r="H648" s="1"/>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G649" s="1"/>
      <c r="H649" s="1"/>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G650" s="1"/>
      <c r="H650" s="1"/>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G651" s="1"/>
      <c r="H651" s="1"/>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G652" s="1"/>
      <c r="H652" s="1"/>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G653" s="1"/>
      <c r="H653" s="1"/>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G654" s="1"/>
      <c r="H654" s="1"/>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G655" s="1"/>
      <c r="H655" s="1"/>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G656" s="1"/>
      <c r="H656" s="1"/>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G657" s="1"/>
      <c r="H657" s="1"/>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G658" s="1"/>
      <c r="H658" s="1"/>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G659" s="1"/>
      <c r="H659" s="1"/>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G660" s="1"/>
      <c r="H660" s="1"/>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G661" s="1"/>
      <c r="H661" s="1"/>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G662" s="1"/>
      <c r="H662" s="1"/>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G663" s="1"/>
      <c r="H663" s="1"/>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G664" s="1"/>
      <c r="H664" s="1"/>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G665" s="1"/>
      <c r="H665" s="1"/>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G666" s="1"/>
      <c r="H666" s="1"/>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G667" s="1"/>
      <c r="H667" s="1"/>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G668" s="1"/>
      <c r="H668" s="1"/>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G669" s="1"/>
      <c r="H669" s="1"/>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G670" s="1"/>
      <c r="H670" s="1"/>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G671" s="1"/>
      <c r="H671" s="1"/>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G672" s="1"/>
      <c r="H672" s="1"/>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G673" s="1"/>
      <c r="H673" s="1"/>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G674" s="1"/>
      <c r="H674" s="1"/>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G675" s="1"/>
      <c r="H675" s="1"/>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G676" s="1"/>
      <c r="H676" s="1"/>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G677" s="1"/>
      <c r="H677" s="1"/>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G678" s="1"/>
      <c r="H678" s="1"/>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G679" s="1"/>
      <c r="H679" s="1"/>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G680" s="1"/>
      <c r="H680" s="1"/>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G681" s="1"/>
      <c r="H681" s="1"/>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G682" s="1"/>
      <c r="H682" s="1"/>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G683" s="1"/>
      <c r="H683" s="1"/>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G684" s="1"/>
      <c r="H684" s="1"/>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G685" s="1"/>
      <c r="H685" s="1"/>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G686" s="1"/>
      <c r="H686" s="1"/>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G687" s="1"/>
      <c r="H687" s="1"/>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G688" s="1"/>
      <c r="H688" s="1"/>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G689" s="1"/>
      <c r="H689" s="1"/>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G690" s="1"/>
      <c r="H690" s="1"/>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G691" s="1"/>
      <c r="H691" s="1"/>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G692" s="1"/>
      <c r="H692" s="1"/>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G693" s="1"/>
      <c r="H693" s="1"/>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G694" s="1"/>
      <c r="H694" s="1"/>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G695" s="1"/>
      <c r="H695" s="1"/>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G696" s="1"/>
      <c r="H696" s="1"/>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G697" s="1"/>
      <c r="H697" s="1"/>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G698" s="1"/>
      <c r="H698" s="1"/>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G699" s="1"/>
      <c r="H699" s="1"/>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G700" s="1"/>
      <c r="H700" s="1"/>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G701" s="1"/>
      <c r="H701" s="1"/>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G702" s="1"/>
      <c r="H702" s="1"/>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G703" s="1"/>
      <c r="H703" s="1"/>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G704" s="1"/>
      <c r="H704" s="1"/>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G705" s="1"/>
      <c r="H705" s="1"/>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G706" s="1"/>
      <c r="H706" s="1"/>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G707" s="1"/>
      <c r="H707" s="1"/>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G708" s="1"/>
      <c r="H708" s="1"/>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G709" s="1"/>
      <c r="H709" s="1"/>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G710" s="1"/>
      <c r="H710" s="1"/>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G711" s="1"/>
      <c r="H711" s="1"/>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G712" s="1"/>
      <c r="H712" s="1"/>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G713" s="1"/>
      <c r="H713" s="1"/>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G714" s="1"/>
      <c r="H714" s="1"/>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G715" s="1"/>
      <c r="H715" s="1"/>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G716" s="1"/>
      <c r="H716" s="1"/>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G717" s="1"/>
      <c r="H717" s="1"/>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G718" s="1"/>
      <c r="H718" s="1"/>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G719" s="1"/>
      <c r="H719" s="1"/>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G720" s="1"/>
      <c r="H720" s="1"/>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G721" s="1"/>
      <c r="H721" s="1"/>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G722" s="1"/>
      <c r="H722" s="1"/>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G723" s="1"/>
      <c r="H723" s="1"/>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G724" s="1"/>
      <c r="H724" s="1"/>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G725" s="1"/>
      <c r="H725" s="1"/>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G726" s="1"/>
      <c r="H726" s="1"/>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G727" s="1"/>
      <c r="H727" s="1"/>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G728" s="1"/>
      <c r="H728" s="1"/>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G729" s="1"/>
      <c r="H729" s="1"/>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G730" s="1"/>
      <c r="H730" s="1"/>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G731" s="1"/>
      <c r="H731" s="1"/>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G732" s="1"/>
      <c r="H732" s="1"/>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G733" s="1"/>
      <c r="H733" s="1"/>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G734" s="1"/>
      <c r="H734" s="1"/>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G735" s="1"/>
      <c r="H735" s="1"/>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G736" s="1"/>
      <c r="H736" s="1"/>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G737" s="1"/>
      <c r="H737" s="1"/>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G738" s="1"/>
      <c r="H738" s="1"/>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G739" s="1"/>
      <c r="H739" s="1"/>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G740" s="1"/>
      <c r="H740" s="1"/>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G741" s="1"/>
      <c r="H741" s="1"/>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G742" s="1"/>
      <c r="H742" s="1"/>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G743" s="1"/>
      <c r="H743" s="1"/>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G744" s="1"/>
      <c r="H744" s="1"/>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G745" s="1"/>
      <c r="H745" s="1"/>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G746" s="1"/>
      <c r="H746" s="1"/>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G747" s="1"/>
      <c r="H747" s="1"/>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G748" s="1"/>
      <c r="H748" s="1"/>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G749" s="1"/>
      <c r="H749" s="1"/>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G750" s="1"/>
      <c r="H750" s="1"/>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G751" s="1"/>
      <c r="H751" s="1"/>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G752" s="1"/>
      <c r="H752" s="1"/>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G753" s="1"/>
      <c r="H753" s="1"/>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G754" s="1"/>
      <c r="H754" s="1"/>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G755" s="1"/>
      <c r="H755" s="1"/>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G756" s="1"/>
      <c r="H756" s="1"/>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G757" s="1"/>
      <c r="H757" s="1"/>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G758" s="1"/>
      <c r="H758" s="1"/>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G759" s="1"/>
      <c r="H759" s="1"/>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G760" s="1"/>
      <c r="H760" s="1"/>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G761" s="1"/>
      <c r="H761" s="1"/>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G762" s="1"/>
      <c r="H762" s="1"/>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G763" s="1"/>
      <c r="H763" s="1"/>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G764" s="1"/>
      <c r="H764" s="1"/>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G765" s="1"/>
      <c r="H765" s="1"/>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G766" s="1"/>
      <c r="H766" s="1"/>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G767" s="1"/>
      <c r="H767" s="1"/>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G768" s="1"/>
      <c r="H768" s="1"/>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G769" s="1"/>
      <c r="H769" s="1"/>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G770" s="1"/>
      <c r="H770" s="1"/>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G771" s="1"/>
      <c r="H771" s="1"/>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G772" s="1"/>
      <c r="H772" s="1"/>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G773" s="1"/>
      <c r="H773" s="1"/>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G774" s="1"/>
      <c r="H774" s="1"/>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G775" s="1"/>
      <c r="H775" s="1"/>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G776" s="1"/>
      <c r="H776" s="1"/>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G777" s="1"/>
      <c r="H777" s="1"/>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G778" s="1"/>
      <c r="H778" s="1"/>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G779" s="1"/>
      <c r="H779" s="1"/>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G780" s="1"/>
      <c r="H780" s="1"/>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G781" s="1"/>
      <c r="H781" s="1"/>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G782" s="1"/>
      <c r="H782" s="1"/>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G783" s="1"/>
      <c r="H783" s="1"/>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G784" s="1"/>
      <c r="H784" s="1"/>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G785" s="1"/>
      <c r="H785" s="1"/>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G786" s="1"/>
      <c r="H786" s="1"/>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G787" s="1"/>
      <c r="H787" s="1"/>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G788" s="1"/>
      <c r="H788" s="1"/>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G789" s="1"/>
      <c r="H789" s="1"/>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G790" s="1"/>
      <c r="H790" s="1"/>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G791" s="1"/>
      <c r="H791" s="1"/>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G792" s="1"/>
      <c r="H792" s="1"/>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G793" s="1"/>
      <c r="H793" s="1"/>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G794" s="1"/>
      <c r="H794" s="1"/>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G795" s="1"/>
      <c r="H795" s="1"/>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G796" s="1"/>
      <c r="H796" s="1"/>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G797" s="1"/>
      <c r="H797" s="1"/>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G798" s="1"/>
      <c r="H798" s="1"/>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G799" s="1"/>
      <c r="H799" s="1"/>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G800" s="1"/>
      <c r="H800" s="1"/>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G801" s="1"/>
      <c r="H801" s="1"/>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G802" s="1"/>
      <c r="H802" s="1"/>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G803" s="1"/>
      <c r="H803" s="1"/>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G804" s="1"/>
      <c r="H804" s="1"/>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G805" s="1"/>
      <c r="H805" s="1"/>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G806" s="1"/>
      <c r="H806" s="1"/>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G807" s="1"/>
      <c r="H807" s="1"/>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G808" s="1"/>
      <c r="H808" s="1"/>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G809" s="1"/>
      <c r="H809" s="1"/>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G810" s="1"/>
      <c r="H810" s="1"/>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G811" s="1"/>
      <c r="H811" s="1"/>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G812" s="1"/>
      <c r="H812" s="1"/>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G813" s="1"/>
      <c r="H813" s="1"/>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G814" s="1"/>
      <c r="H814" s="1"/>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G815" s="1"/>
      <c r="H815" s="1"/>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G816" s="1"/>
      <c r="H816" s="1"/>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G817" s="1"/>
      <c r="H817" s="1"/>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G818" s="1"/>
      <c r="H818" s="1"/>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G819" s="1"/>
      <c r="H819" s="1"/>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G820" s="1"/>
      <c r="H820" s="1"/>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G821" s="1"/>
      <c r="H821" s="1"/>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G822" s="1"/>
      <c r="H822" s="1"/>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G823" s="1"/>
      <c r="H823" s="1"/>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G824" s="1"/>
      <c r="H824" s="1"/>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G825" s="1"/>
      <c r="H825" s="1"/>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G826" s="1"/>
      <c r="H826" s="1"/>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G827" s="1"/>
      <c r="H827" s="1"/>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G828" s="1"/>
      <c r="H828" s="1"/>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G829" s="1"/>
      <c r="H829" s="1"/>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G830" s="1"/>
      <c r="H830" s="1"/>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G831" s="1"/>
      <c r="H831" s="1"/>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G832" s="1"/>
      <c r="H832" s="1"/>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G833" s="1"/>
      <c r="H833" s="1"/>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G834" s="1"/>
      <c r="H834" s="1"/>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G835" s="1"/>
      <c r="H835" s="1"/>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G836" s="1"/>
      <c r="H836" s="1"/>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G837" s="1"/>
      <c r="H837" s="1"/>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G838" s="1"/>
      <c r="H838" s="1"/>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G839" s="1"/>
      <c r="H839" s="1"/>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G840" s="1"/>
      <c r="H840" s="1"/>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G841" s="1"/>
      <c r="H841" s="1"/>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G842" s="1"/>
      <c r="H842" s="1"/>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G843" s="1"/>
      <c r="H843" s="1"/>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G844" s="1"/>
      <c r="H844" s="1"/>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G845" s="1"/>
      <c r="H845" s="1"/>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G846" s="1"/>
      <c r="H846" s="1"/>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G847" s="1"/>
      <c r="H847" s="1"/>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G848" s="1"/>
      <c r="H848" s="1"/>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G849" s="1"/>
      <c r="H849" s="1"/>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G850" s="1"/>
      <c r="H850" s="1"/>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G851" s="1"/>
      <c r="H851" s="1"/>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G852" s="1"/>
      <c r="H852" s="1"/>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G853" s="1"/>
      <c r="H853" s="1"/>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G854" s="1"/>
      <c r="H854" s="1"/>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G855" s="1"/>
      <c r="H855" s="1"/>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G856" s="1"/>
      <c r="H856" s="1"/>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G857" s="1"/>
      <c r="H857" s="1"/>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G858" s="1"/>
      <c r="H858" s="1"/>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G859" s="1"/>
      <c r="H859" s="1"/>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G860" s="1"/>
      <c r="H860" s="1"/>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G861" s="1"/>
      <c r="H861" s="1"/>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G862" s="1"/>
      <c r="H862" s="1"/>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G863" s="1"/>
      <c r="H863" s="1"/>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G864" s="1"/>
      <c r="H864" s="1"/>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G865" s="1"/>
      <c r="H865" s="1"/>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G866" s="1"/>
      <c r="H866" s="1"/>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G867" s="1"/>
      <c r="H867" s="1"/>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G868" s="1"/>
      <c r="H868" s="1"/>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G869" s="1"/>
      <c r="H869" s="1"/>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G870" s="1"/>
      <c r="H870" s="1"/>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G871" s="1"/>
      <c r="H871" s="1"/>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G872" s="1"/>
      <c r="H872" s="1"/>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G873" s="1"/>
      <c r="H873" s="1"/>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G874" s="1"/>
      <c r="H874" s="1"/>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G875" s="1"/>
      <c r="H875" s="1"/>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G876" s="1"/>
      <c r="H876" s="1"/>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G877" s="1"/>
      <c r="H877" s="1"/>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G878" s="1"/>
      <c r="H878" s="1"/>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G879" s="1"/>
      <c r="H879" s="1"/>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G880" s="1"/>
      <c r="H880" s="1"/>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G881" s="1"/>
      <c r="H881" s="1"/>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G882" s="1"/>
      <c r="H882" s="1"/>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G883" s="1"/>
      <c r="H883" s="1"/>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G884" s="1"/>
      <c r="H884" s="1"/>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G885" s="1"/>
      <c r="H885" s="1"/>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G886" s="1"/>
      <c r="H886" s="1"/>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G887" s="1"/>
      <c r="H887" s="1"/>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G888" s="1"/>
      <c r="H888" s="1"/>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G889" s="1"/>
      <c r="H889" s="1"/>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G890" s="1"/>
      <c r="H890" s="1"/>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G891" s="1"/>
      <c r="H891" s="1"/>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G892" s="1"/>
      <c r="H892" s="1"/>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G893" s="1"/>
      <c r="H893" s="1"/>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G894" s="1"/>
      <c r="H894" s="1"/>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G895" s="1"/>
      <c r="H895" s="1"/>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G896" s="1"/>
      <c r="H896" s="1"/>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G897" s="1"/>
      <c r="H897" s="1"/>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G898" s="1"/>
      <c r="H898" s="1"/>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G899" s="1"/>
      <c r="H899" s="1"/>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G900" s="1"/>
      <c r="H900" s="1"/>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G901" s="1"/>
      <c r="H901" s="1"/>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G902" s="1"/>
      <c r="H902" s="1"/>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G903" s="1"/>
      <c r="H903" s="1"/>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G904" s="1"/>
      <c r="H904" s="1"/>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G905" s="1"/>
      <c r="H905" s="1"/>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G906" s="1"/>
      <c r="H906" s="1"/>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G907" s="1"/>
      <c r="H907" s="1"/>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G908" s="1"/>
      <c r="H908" s="1"/>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G909" s="1"/>
      <c r="H909" s="1"/>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G910" s="1"/>
      <c r="H910" s="1"/>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G911" s="1"/>
      <c r="H911" s="1"/>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G912" s="1"/>
      <c r="H912" s="1"/>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G913" s="1"/>
      <c r="H913" s="1"/>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G914" s="1"/>
      <c r="H914" s="1"/>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G915" s="1"/>
      <c r="H915" s="1"/>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G916" s="1"/>
      <c r="H916" s="1"/>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G917" s="1"/>
      <c r="H917" s="1"/>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G918" s="1"/>
      <c r="H918" s="1"/>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G919" s="1"/>
      <c r="H919" s="1"/>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G920" s="1"/>
      <c r="H920" s="1"/>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G921" s="1"/>
      <c r="H921" s="1"/>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G922" s="1"/>
      <c r="H922" s="1"/>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G923" s="1"/>
      <c r="H923" s="1"/>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G924" s="1"/>
      <c r="H924" s="1"/>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G925" s="1"/>
      <c r="H925" s="1"/>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G926" s="1"/>
      <c r="H926" s="1"/>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G927" s="1"/>
      <c r="H927" s="1"/>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G928" s="1"/>
      <c r="H928" s="1"/>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G929" s="1"/>
      <c r="H929" s="1"/>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G930" s="1"/>
      <c r="H930" s="1"/>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G931" s="1"/>
      <c r="H931" s="1"/>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G932" s="1"/>
      <c r="H932" s="1"/>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G933" s="1"/>
      <c r="H933" s="1"/>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G934" s="1"/>
      <c r="H934" s="1"/>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G935" s="1"/>
      <c r="H935" s="1"/>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G936" s="1"/>
      <c r="H936" s="1"/>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G937" s="1"/>
      <c r="H937" s="1"/>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G938" s="1"/>
      <c r="H938" s="1"/>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G939" s="1"/>
      <c r="H939" s="1"/>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G940" s="1"/>
      <c r="H940" s="1"/>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G941" s="1"/>
      <c r="H941" s="1"/>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G942" s="1"/>
      <c r="H942" s="1"/>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G943" s="1"/>
      <c r="H943" s="1"/>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G944" s="1"/>
      <c r="H944" s="1"/>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G945" s="1"/>
      <c r="H945" s="1"/>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G946" s="1"/>
      <c r="H946" s="1"/>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G947" s="1"/>
      <c r="H947" s="1"/>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G948" s="1"/>
      <c r="H948" s="1"/>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G949" s="1"/>
      <c r="H949" s="1"/>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G950" s="1"/>
      <c r="H950" s="1"/>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G951" s="1"/>
      <c r="H951" s="1"/>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G952" s="1"/>
      <c r="H952" s="1"/>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G953" s="1"/>
      <c r="H953" s="1"/>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G954" s="1"/>
      <c r="H954" s="1"/>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G955" s="1"/>
      <c r="H955" s="1"/>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G956" s="1"/>
      <c r="H956" s="1"/>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G957" s="1"/>
      <c r="H957" s="1"/>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G958" s="1"/>
      <c r="H958" s="1"/>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G959" s="1"/>
      <c r="H959" s="1"/>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G960" s="1"/>
      <c r="H960" s="1"/>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G961" s="1"/>
      <c r="H961" s="1"/>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G962" s="1"/>
      <c r="H962" s="1"/>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G963" s="1"/>
      <c r="H963" s="1"/>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G964" s="1"/>
      <c r="H964" s="1"/>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G965" s="1"/>
      <c r="H965" s="1"/>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G966" s="1"/>
      <c r="H966" s="1"/>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G967" s="1"/>
      <c r="H967" s="1"/>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G968" s="1"/>
      <c r="H968" s="1"/>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G969" s="1"/>
      <c r="H969" s="1"/>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G970" s="1"/>
      <c r="H970" s="1"/>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G971" s="1"/>
      <c r="H971" s="1"/>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G972" s="1"/>
      <c r="H972" s="1"/>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G973" s="1"/>
      <c r="H973" s="1"/>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G974" s="1"/>
      <c r="H974" s="1"/>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G975" s="1"/>
      <c r="H975" s="1"/>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G976" s="1"/>
      <c r="H976" s="1"/>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G977" s="1"/>
      <c r="H977" s="1"/>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G978" s="1"/>
      <c r="H978" s="1"/>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G979" s="1"/>
      <c r="H979" s="1"/>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G980" s="1"/>
      <c r="H980" s="1"/>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G981" s="1"/>
      <c r="H981" s="1"/>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G982" s="1"/>
      <c r="H982" s="1"/>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G983" s="1"/>
      <c r="H983" s="1"/>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G984" s="1"/>
      <c r="H984" s="1"/>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G985" s="1"/>
      <c r="H985" s="1"/>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G986" s="1"/>
      <c r="H986" s="1"/>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G987" s="1"/>
      <c r="H987" s="1"/>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G988" s="1"/>
      <c r="H988" s="1"/>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G989" s="1"/>
      <c r="H989" s="1"/>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G990" s="1"/>
      <c r="H990" s="1"/>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G991" s="1"/>
      <c r="H991" s="1"/>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G992" s="1"/>
      <c r="H992" s="1"/>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G993" s="1"/>
      <c r="H993" s="1"/>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G994" s="1"/>
      <c r="H994" s="1"/>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G995" s="1"/>
      <c r="H995" s="1"/>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G996" s="1"/>
      <c r="H996" s="1"/>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G997" s="1"/>
      <c r="H997" s="1"/>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G998" s="1"/>
      <c r="H998" s="1"/>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G999" s="1"/>
      <c r="H999" s="1"/>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G1000" s="1"/>
      <c r="H1000" s="1"/>
      <c r="I1000" s="1"/>
      <c r="J1000" s="1"/>
      <c r="K1000" s="1"/>
      <c r="L1000" s="1"/>
      <c r="M1000" s="1"/>
      <c r="N1000" s="1"/>
      <c r="O1000" s="1"/>
      <c r="P1000" s="1"/>
      <c r="Q1000" s="1"/>
      <c r="R1000" s="1"/>
      <c r="S1000" s="1"/>
      <c r="T1000" s="1"/>
      <c r="U1000" s="1"/>
      <c r="V1000" s="1"/>
      <c r="W1000" s="1"/>
      <c r="X1000" s="1"/>
      <c r="Y1000" s="1"/>
      <c r="Z1000" s="1"/>
    </row>
  </sheetData>
  <autoFilter ref="A3:D10"/>
  <mergeCells count="8">
    <mergeCell ref="A1:D1"/>
    <mergeCell ref="A2:D2"/>
    <mergeCell ref="A12:D12"/>
    <mergeCell ref="A13:D13"/>
    <mergeCell ref="A14:D14"/>
    <mergeCell ref="A15:D15"/>
    <mergeCell ref="A16:D16"/>
    <mergeCell ref="A17:D17"/>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5"/>
    <col collapsed="false" customWidth="true" hidden="false" outlineLevel="0" max="2" min="2" style="1" width="38"/>
    <col collapsed="false" customWidth="true" hidden="false" outlineLevel="0" max="3" min="3" style="1" width="20"/>
    <col collapsed="false" customWidth="true" hidden="false" outlineLevel="0" max="4" min="4" style="1" width="22"/>
    <col collapsed="false" customWidth="true" hidden="false" outlineLevel="0" max="5" min="5" style="1" width="45.29"/>
    <col collapsed="false" customWidth="true" hidden="false" outlineLevel="0" max="6" min="6" style="1" width="8.71"/>
  </cols>
  <sheetData>
    <row r="1" customFormat="false" ht="39.75" hidden="false" customHeight="true" outlineLevel="0" collapsed="false">
      <c r="A1" s="85" t="s">
        <v>411</v>
      </c>
      <c r="B1" s="85"/>
      <c r="C1" s="85"/>
      <c r="D1" s="85"/>
      <c r="E1" s="85"/>
      <c r="G1" s="1"/>
      <c r="H1" s="1"/>
      <c r="I1" s="1"/>
      <c r="J1" s="1"/>
      <c r="K1" s="1"/>
      <c r="L1" s="1"/>
      <c r="M1" s="1"/>
      <c r="N1" s="1"/>
      <c r="O1" s="1"/>
      <c r="P1" s="1"/>
      <c r="Q1" s="1"/>
      <c r="R1" s="1"/>
      <c r="S1" s="1"/>
      <c r="T1" s="1"/>
      <c r="U1" s="1"/>
      <c r="V1" s="1"/>
      <c r="W1" s="1"/>
      <c r="X1" s="1"/>
      <c r="Y1" s="1"/>
      <c r="Z1" s="1"/>
    </row>
    <row r="2" customFormat="false" ht="19.5" hidden="false" customHeight="true" outlineLevel="0" collapsed="false">
      <c r="A2" s="20" t="s">
        <v>54</v>
      </c>
      <c r="B2" s="20"/>
      <c r="C2" s="20"/>
      <c r="D2" s="20"/>
      <c r="E2" s="20"/>
      <c r="G2" s="1"/>
      <c r="H2" s="1"/>
      <c r="I2" s="1"/>
      <c r="J2" s="1"/>
      <c r="K2" s="1"/>
      <c r="L2" s="1"/>
      <c r="M2" s="1"/>
      <c r="N2" s="1"/>
      <c r="O2" s="1"/>
      <c r="P2" s="1"/>
      <c r="Q2" s="1"/>
      <c r="R2" s="1"/>
      <c r="S2" s="1"/>
      <c r="T2" s="1"/>
      <c r="U2" s="1"/>
      <c r="V2" s="1"/>
      <c r="W2" s="1"/>
      <c r="X2" s="1"/>
      <c r="Y2" s="1"/>
      <c r="Z2" s="1"/>
    </row>
    <row r="3" customFormat="false" ht="26.25" hidden="false" customHeight="true" outlineLevel="0" collapsed="false">
      <c r="A3" s="86" t="s">
        <v>55</v>
      </c>
      <c r="B3" s="86" t="s">
        <v>56</v>
      </c>
      <c r="C3" s="86" t="s">
        <v>412</v>
      </c>
      <c r="D3" s="86" t="s">
        <v>413</v>
      </c>
      <c r="E3" s="86" t="s">
        <v>414</v>
      </c>
      <c r="G3" s="1"/>
      <c r="H3" s="1"/>
      <c r="I3" s="1"/>
      <c r="J3" s="1"/>
      <c r="K3" s="1"/>
      <c r="L3" s="1"/>
      <c r="M3" s="1"/>
      <c r="N3" s="1"/>
      <c r="O3" s="1"/>
      <c r="P3" s="1"/>
      <c r="Q3" s="1"/>
      <c r="R3" s="1"/>
      <c r="S3" s="1"/>
      <c r="T3" s="1"/>
      <c r="U3" s="1"/>
      <c r="V3" s="1"/>
      <c r="W3" s="1"/>
      <c r="X3" s="1"/>
      <c r="Y3" s="1"/>
      <c r="Z3" s="1"/>
    </row>
    <row r="4" customFormat="false" ht="15" hidden="false" customHeight="true" outlineLevel="0" collapsed="false">
      <c r="A4" s="23" t="n">
        <v>1</v>
      </c>
      <c r="B4" s="24" t="s">
        <v>123</v>
      </c>
      <c r="C4" s="25" t="n">
        <v>10</v>
      </c>
      <c r="D4" s="25" t="n">
        <v>0</v>
      </c>
      <c r="E4" s="24" t="s">
        <v>415</v>
      </c>
      <c r="G4" s="1"/>
      <c r="H4" s="1"/>
      <c r="I4" s="1"/>
      <c r="J4" s="1"/>
      <c r="K4" s="1"/>
      <c r="L4" s="1"/>
      <c r="M4" s="1"/>
      <c r="N4" s="1"/>
      <c r="O4" s="1"/>
      <c r="P4" s="1"/>
      <c r="Q4" s="1"/>
      <c r="R4" s="1"/>
      <c r="S4" s="1"/>
      <c r="T4" s="1"/>
      <c r="U4" s="1"/>
      <c r="V4" s="1"/>
      <c r="W4" s="1"/>
      <c r="X4" s="1"/>
      <c r="Y4" s="1"/>
      <c r="Z4" s="1"/>
    </row>
    <row r="5" customFormat="false" ht="15" hidden="false" customHeight="true" outlineLevel="0" collapsed="false">
      <c r="A5" s="28" t="n">
        <v>2</v>
      </c>
      <c r="B5" s="29" t="s">
        <v>91</v>
      </c>
      <c r="C5" s="30" t="n">
        <v>9</v>
      </c>
      <c r="D5" s="30" t="n">
        <v>0</v>
      </c>
      <c r="E5" s="29" t="s">
        <v>416</v>
      </c>
      <c r="G5" s="1"/>
      <c r="H5" s="1"/>
      <c r="I5" s="1"/>
      <c r="J5" s="1"/>
      <c r="K5" s="1"/>
      <c r="L5" s="1"/>
      <c r="M5" s="1"/>
      <c r="N5" s="1"/>
      <c r="O5" s="1"/>
      <c r="P5" s="1"/>
      <c r="Q5" s="1"/>
      <c r="R5" s="1"/>
      <c r="S5" s="1"/>
      <c r="T5" s="1"/>
      <c r="U5" s="1"/>
      <c r="V5" s="1"/>
      <c r="W5" s="1"/>
      <c r="X5" s="1"/>
      <c r="Y5" s="1"/>
      <c r="Z5" s="1"/>
    </row>
    <row r="6" customFormat="false" ht="15" hidden="false" customHeight="true" outlineLevel="0" collapsed="false">
      <c r="A6" s="23" t="n">
        <v>3</v>
      </c>
      <c r="B6" s="24" t="s">
        <v>109</v>
      </c>
      <c r="C6" s="25" t="n">
        <v>9</v>
      </c>
      <c r="D6" s="25" t="n">
        <v>0</v>
      </c>
      <c r="E6" s="24" t="s">
        <v>416</v>
      </c>
      <c r="G6" s="1"/>
      <c r="H6" s="1"/>
      <c r="I6" s="1"/>
      <c r="J6" s="1"/>
      <c r="K6" s="1"/>
      <c r="L6" s="1"/>
      <c r="M6" s="1"/>
      <c r="N6" s="1"/>
      <c r="O6" s="1"/>
      <c r="P6" s="1"/>
      <c r="Q6" s="1"/>
      <c r="R6" s="1"/>
      <c r="S6" s="1"/>
      <c r="T6" s="1"/>
      <c r="U6" s="1"/>
      <c r="V6" s="1"/>
      <c r="W6" s="1"/>
      <c r="X6" s="1"/>
      <c r="Y6" s="1"/>
      <c r="Z6" s="1"/>
    </row>
    <row r="7" customFormat="false" ht="15" hidden="false" customHeight="true" outlineLevel="0" collapsed="false">
      <c r="A7" s="28" t="n">
        <v>4</v>
      </c>
      <c r="B7" s="29" t="s">
        <v>119</v>
      </c>
      <c r="C7" s="30" t="n">
        <v>9</v>
      </c>
      <c r="D7" s="30" t="n">
        <v>0</v>
      </c>
      <c r="E7" s="29" t="s">
        <v>416</v>
      </c>
      <c r="G7" s="1"/>
      <c r="H7" s="1"/>
      <c r="I7" s="1"/>
      <c r="J7" s="1"/>
      <c r="K7" s="1"/>
      <c r="L7" s="1"/>
      <c r="M7" s="1"/>
      <c r="N7" s="1"/>
      <c r="O7" s="1"/>
      <c r="P7" s="1"/>
      <c r="Q7" s="1"/>
      <c r="R7" s="1"/>
      <c r="S7" s="1"/>
      <c r="T7" s="1"/>
      <c r="U7" s="1"/>
      <c r="V7" s="1"/>
      <c r="W7" s="1"/>
      <c r="X7" s="1"/>
      <c r="Y7" s="1"/>
      <c r="Z7" s="1"/>
    </row>
    <row r="8" customFormat="false" ht="15" hidden="false" customHeight="true" outlineLevel="0" collapsed="false">
      <c r="A8" s="23" t="n">
        <v>5</v>
      </c>
      <c r="B8" s="24" t="s">
        <v>143</v>
      </c>
      <c r="C8" s="25" t="n">
        <v>8</v>
      </c>
      <c r="D8" s="25" t="n">
        <v>0</v>
      </c>
      <c r="E8" s="24" t="s">
        <v>417</v>
      </c>
      <c r="G8" s="1"/>
      <c r="H8" s="1"/>
      <c r="I8" s="1"/>
      <c r="J8" s="1"/>
      <c r="K8" s="1"/>
      <c r="L8" s="1"/>
      <c r="M8" s="1"/>
      <c r="N8" s="1"/>
      <c r="O8" s="1"/>
      <c r="P8" s="1"/>
      <c r="Q8" s="1"/>
      <c r="R8" s="1"/>
      <c r="S8" s="1"/>
      <c r="T8" s="1"/>
      <c r="U8" s="1"/>
      <c r="V8" s="1"/>
      <c r="W8" s="1"/>
      <c r="X8" s="1"/>
      <c r="Y8" s="1"/>
      <c r="Z8" s="1"/>
    </row>
    <row r="9" customFormat="false" ht="15" hidden="false" customHeight="true" outlineLevel="0" collapsed="false">
      <c r="A9" s="28" t="n">
        <v>6</v>
      </c>
      <c r="B9" s="29" t="s">
        <v>155</v>
      </c>
      <c r="C9" s="30" t="n">
        <v>8</v>
      </c>
      <c r="D9" s="30" t="n">
        <v>0</v>
      </c>
      <c r="E9" s="29" t="s">
        <v>417</v>
      </c>
      <c r="G9" s="1"/>
      <c r="H9" s="1"/>
      <c r="I9" s="1"/>
      <c r="J9" s="1"/>
      <c r="K9" s="1"/>
      <c r="L9" s="1"/>
      <c r="M9" s="1"/>
      <c r="N9" s="1"/>
      <c r="O9" s="1"/>
      <c r="P9" s="1"/>
      <c r="Q9" s="1"/>
      <c r="R9" s="1"/>
      <c r="S9" s="1"/>
      <c r="T9" s="1"/>
      <c r="U9" s="1"/>
      <c r="V9" s="1"/>
      <c r="W9" s="1"/>
      <c r="X9" s="1"/>
      <c r="Y9" s="1"/>
      <c r="Z9" s="1"/>
    </row>
    <row r="10" customFormat="false" ht="15" hidden="false" customHeight="true" outlineLevel="0" collapsed="false">
      <c r="A10" s="23" t="n">
        <v>7</v>
      </c>
      <c r="B10" s="24" t="s">
        <v>97</v>
      </c>
      <c r="C10" s="25" t="n">
        <v>7</v>
      </c>
      <c r="D10" s="25" t="n">
        <v>0</v>
      </c>
      <c r="E10" s="24" t="s">
        <v>418</v>
      </c>
      <c r="G10" s="1"/>
      <c r="H10" s="1"/>
      <c r="I10" s="1"/>
      <c r="J10" s="1"/>
      <c r="K10" s="1"/>
      <c r="L10" s="1"/>
      <c r="M10" s="1"/>
      <c r="N10" s="1"/>
      <c r="O10" s="1"/>
      <c r="P10" s="1"/>
      <c r="Q10" s="1"/>
      <c r="R10" s="1"/>
      <c r="S10" s="1"/>
      <c r="T10" s="1"/>
      <c r="U10" s="1"/>
      <c r="V10" s="1"/>
      <c r="W10" s="1"/>
      <c r="X10" s="1"/>
      <c r="Y10" s="1"/>
      <c r="Z10" s="1"/>
    </row>
    <row r="11" customFormat="false" ht="15" hidden="false" customHeight="true" outlineLevel="0" collapsed="false">
      <c r="A11" s="28" t="n">
        <v>8</v>
      </c>
      <c r="B11" s="29" t="s">
        <v>105</v>
      </c>
      <c r="C11" s="30" t="n">
        <v>7</v>
      </c>
      <c r="D11" s="30" t="n">
        <v>0</v>
      </c>
      <c r="E11" s="29" t="s">
        <v>418</v>
      </c>
      <c r="G11" s="1"/>
      <c r="H11" s="1"/>
      <c r="I11" s="1"/>
      <c r="J11" s="1"/>
      <c r="K11" s="1"/>
      <c r="L11" s="1"/>
      <c r="M11" s="1"/>
      <c r="N11" s="1"/>
      <c r="O11" s="1"/>
      <c r="P11" s="1"/>
      <c r="Q11" s="1"/>
      <c r="R11" s="1"/>
      <c r="S11" s="1"/>
      <c r="T11" s="1"/>
      <c r="U11" s="1"/>
      <c r="V11" s="1"/>
      <c r="W11" s="1"/>
      <c r="X11" s="1"/>
      <c r="Y11" s="1"/>
      <c r="Z11" s="1"/>
    </row>
    <row r="12" customFormat="false" ht="15" hidden="false" customHeight="true" outlineLevel="0" collapsed="false">
      <c r="A12" s="23" t="n">
        <v>9</v>
      </c>
      <c r="B12" s="24" t="s">
        <v>144</v>
      </c>
      <c r="C12" s="25" t="n">
        <v>7</v>
      </c>
      <c r="D12" s="25" t="n">
        <v>0</v>
      </c>
      <c r="E12" s="24" t="s">
        <v>418</v>
      </c>
      <c r="G12" s="1"/>
      <c r="H12" s="1"/>
      <c r="I12" s="1"/>
      <c r="J12" s="1"/>
      <c r="K12" s="1"/>
      <c r="L12" s="1"/>
      <c r="M12" s="1"/>
      <c r="N12" s="1"/>
      <c r="O12" s="1"/>
      <c r="P12" s="1"/>
      <c r="Q12" s="1"/>
      <c r="R12" s="1"/>
      <c r="S12" s="1"/>
      <c r="T12" s="1"/>
      <c r="U12" s="1"/>
      <c r="V12" s="1"/>
      <c r="W12" s="1"/>
      <c r="X12" s="1"/>
      <c r="Y12" s="1"/>
      <c r="Z12" s="1"/>
    </row>
    <row r="13" customFormat="false" ht="15" hidden="false" customHeight="true" outlineLevel="0" collapsed="false">
      <c r="A13" s="28" t="n">
        <v>10</v>
      </c>
      <c r="B13" s="29" t="s">
        <v>156</v>
      </c>
      <c r="C13" s="30" t="n">
        <v>7</v>
      </c>
      <c r="D13" s="30" t="n">
        <v>0</v>
      </c>
      <c r="E13" s="29" t="s">
        <v>418</v>
      </c>
      <c r="G13" s="1"/>
      <c r="H13" s="1"/>
      <c r="I13" s="1"/>
      <c r="J13" s="1"/>
      <c r="K13" s="1"/>
      <c r="L13" s="1"/>
      <c r="M13" s="1"/>
      <c r="N13" s="1"/>
      <c r="O13" s="1"/>
      <c r="P13" s="1"/>
      <c r="Q13" s="1"/>
      <c r="R13" s="1"/>
      <c r="S13" s="1"/>
      <c r="T13" s="1"/>
      <c r="U13" s="1"/>
      <c r="V13" s="1"/>
      <c r="W13" s="1"/>
      <c r="X13" s="1"/>
      <c r="Y13" s="1"/>
      <c r="Z13" s="1"/>
    </row>
    <row r="14" customFormat="false" ht="15" hidden="false" customHeight="true" outlineLevel="0" collapsed="false">
      <c r="A14" s="23" t="n">
        <v>11</v>
      </c>
      <c r="B14" s="24" t="s">
        <v>78</v>
      </c>
      <c r="C14" s="25" t="n">
        <v>5</v>
      </c>
      <c r="D14" s="25" t="n">
        <v>1</v>
      </c>
      <c r="E14" s="24" t="s">
        <v>419</v>
      </c>
      <c r="G14" s="1"/>
      <c r="H14" s="1"/>
      <c r="I14" s="1"/>
      <c r="J14" s="1"/>
      <c r="K14" s="1"/>
      <c r="L14" s="1"/>
      <c r="M14" s="1"/>
      <c r="N14" s="1"/>
      <c r="O14" s="1"/>
      <c r="P14" s="1"/>
      <c r="Q14" s="1"/>
      <c r="R14" s="1"/>
      <c r="S14" s="1"/>
      <c r="T14" s="1"/>
      <c r="U14" s="1"/>
      <c r="V14" s="1"/>
      <c r="W14" s="1"/>
      <c r="X14" s="1"/>
      <c r="Y14" s="1"/>
      <c r="Z14" s="1"/>
    </row>
    <row r="15" customFormat="false" ht="15" hidden="false" customHeight="true" outlineLevel="0" collapsed="false">
      <c r="A15" s="28" t="n">
        <v>12</v>
      </c>
      <c r="B15" s="29" t="s">
        <v>146</v>
      </c>
      <c r="C15" s="30" t="n">
        <v>6</v>
      </c>
      <c r="D15" s="30" t="n">
        <v>0</v>
      </c>
      <c r="E15" s="29" t="s">
        <v>420</v>
      </c>
      <c r="G15" s="1"/>
      <c r="H15" s="1"/>
      <c r="I15" s="1"/>
      <c r="J15" s="1"/>
      <c r="K15" s="1"/>
      <c r="L15" s="1"/>
      <c r="M15" s="1"/>
      <c r="N15" s="1"/>
      <c r="O15" s="1"/>
      <c r="P15" s="1"/>
      <c r="Q15" s="1"/>
      <c r="R15" s="1"/>
      <c r="S15" s="1"/>
      <c r="T15" s="1"/>
      <c r="U15" s="1"/>
      <c r="V15" s="1"/>
      <c r="W15" s="1"/>
      <c r="X15" s="1"/>
      <c r="Y15" s="1"/>
      <c r="Z15" s="1"/>
    </row>
    <row r="16" customFormat="false" ht="15" hidden="false" customHeight="true" outlineLevel="0" collapsed="false">
      <c r="A16" s="23" t="n">
        <v>13</v>
      </c>
      <c r="B16" s="24" t="s">
        <v>154</v>
      </c>
      <c r="C16" s="25" t="n">
        <v>6</v>
      </c>
      <c r="D16" s="25" t="n">
        <v>0</v>
      </c>
      <c r="E16" s="24" t="s">
        <v>420</v>
      </c>
      <c r="G16" s="1"/>
      <c r="H16" s="1"/>
      <c r="I16" s="1"/>
      <c r="J16" s="1"/>
      <c r="K16" s="1"/>
      <c r="L16" s="1"/>
      <c r="M16" s="1"/>
      <c r="N16" s="1"/>
      <c r="O16" s="1"/>
      <c r="P16" s="1"/>
      <c r="Q16" s="1"/>
      <c r="R16" s="1"/>
      <c r="S16" s="1"/>
      <c r="T16" s="1"/>
      <c r="U16" s="1"/>
      <c r="V16" s="1"/>
      <c r="W16" s="1"/>
      <c r="X16" s="1"/>
      <c r="Y16" s="1"/>
      <c r="Z16" s="1"/>
    </row>
    <row r="17" customFormat="false" ht="15" hidden="false" customHeight="true" outlineLevel="0" collapsed="false">
      <c r="A17" s="28" t="n">
        <v>14</v>
      </c>
      <c r="B17" s="29" t="s">
        <v>73</v>
      </c>
      <c r="C17" s="30" t="n">
        <v>5</v>
      </c>
      <c r="D17" s="30" t="n">
        <v>0</v>
      </c>
      <c r="E17" s="29" t="s">
        <v>421</v>
      </c>
      <c r="G17" s="1"/>
      <c r="H17" s="1"/>
      <c r="I17" s="1"/>
      <c r="J17" s="1"/>
      <c r="K17" s="1"/>
      <c r="L17" s="1"/>
      <c r="M17" s="1"/>
      <c r="N17" s="1"/>
      <c r="O17" s="1"/>
      <c r="P17" s="1"/>
      <c r="Q17" s="1"/>
      <c r="R17" s="1"/>
      <c r="S17" s="1"/>
      <c r="T17" s="1"/>
      <c r="U17" s="1"/>
      <c r="V17" s="1"/>
      <c r="W17" s="1"/>
      <c r="X17" s="1"/>
      <c r="Y17" s="1"/>
      <c r="Z17" s="1"/>
    </row>
    <row r="18" customFormat="false" ht="15" hidden="false" customHeight="true" outlineLevel="0" collapsed="false">
      <c r="A18" s="23" t="n">
        <v>15</v>
      </c>
      <c r="B18" s="24" t="s">
        <v>111</v>
      </c>
      <c r="C18" s="25" t="n">
        <v>5</v>
      </c>
      <c r="D18" s="25" t="n">
        <v>0</v>
      </c>
      <c r="E18" s="24" t="s">
        <v>421</v>
      </c>
      <c r="G18" s="1"/>
      <c r="H18" s="1"/>
      <c r="I18" s="1"/>
      <c r="J18" s="1"/>
      <c r="K18" s="1"/>
      <c r="L18" s="1"/>
      <c r="M18" s="1"/>
      <c r="N18" s="1"/>
      <c r="O18" s="1"/>
      <c r="P18" s="1"/>
      <c r="Q18" s="1"/>
      <c r="R18" s="1"/>
      <c r="S18" s="1"/>
      <c r="T18" s="1"/>
      <c r="U18" s="1"/>
      <c r="V18" s="1"/>
      <c r="W18" s="1"/>
      <c r="X18" s="1"/>
      <c r="Y18" s="1"/>
      <c r="Z18" s="1"/>
    </row>
    <row r="19" customFormat="false" ht="15" hidden="false" customHeight="true" outlineLevel="0" collapsed="false">
      <c r="A19" s="28" t="n">
        <v>16</v>
      </c>
      <c r="B19" s="29" t="s">
        <v>115</v>
      </c>
      <c r="C19" s="30" t="n">
        <v>5</v>
      </c>
      <c r="D19" s="30" t="n">
        <v>0</v>
      </c>
      <c r="E19" s="29" t="s">
        <v>421</v>
      </c>
      <c r="G19" s="1"/>
      <c r="H19" s="1"/>
      <c r="I19" s="1"/>
      <c r="J19" s="1"/>
      <c r="K19" s="1"/>
      <c r="L19" s="1"/>
      <c r="M19" s="1"/>
      <c r="N19" s="1"/>
      <c r="O19" s="1"/>
      <c r="P19" s="1"/>
      <c r="Q19" s="1"/>
      <c r="R19" s="1"/>
      <c r="S19" s="1"/>
      <c r="T19" s="1"/>
      <c r="U19" s="1"/>
      <c r="V19" s="1"/>
      <c r="W19" s="1"/>
      <c r="X19" s="1"/>
      <c r="Y19" s="1"/>
      <c r="Z19" s="1"/>
    </row>
    <row r="20" customFormat="false" ht="15" hidden="false" customHeight="true" outlineLevel="0" collapsed="false">
      <c r="A20" s="23" t="n">
        <v>17</v>
      </c>
      <c r="B20" s="24" t="s">
        <v>139</v>
      </c>
      <c r="C20" s="25" t="n">
        <v>5</v>
      </c>
      <c r="D20" s="25" t="n">
        <v>0</v>
      </c>
      <c r="E20" s="24" t="s">
        <v>421</v>
      </c>
      <c r="G20" s="1"/>
      <c r="H20" s="1"/>
      <c r="I20" s="1"/>
      <c r="J20" s="1"/>
      <c r="K20" s="1"/>
      <c r="L20" s="1"/>
      <c r="M20" s="1"/>
      <c r="N20" s="1"/>
      <c r="O20" s="1"/>
      <c r="P20" s="1"/>
      <c r="Q20" s="1"/>
      <c r="R20" s="1"/>
      <c r="S20" s="1"/>
      <c r="T20" s="1"/>
      <c r="U20" s="1"/>
      <c r="V20" s="1"/>
      <c r="W20" s="1"/>
      <c r="X20" s="1"/>
      <c r="Y20" s="1"/>
      <c r="Z20" s="1"/>
    </row>
    <row r="21" customFormat="false" ht="15.75" hidden="false" customHeight="true" outlineLevel="0" collapsed="false">
      <c r="A21" s="28" t="n">
        <v>18</v>
      </c>
      <c r="B21" s="29" t="s">
        <v>147</v>
      </c>
      <c r="C21" s="30" t="n">
        <v>5</v>
      </c>
      <c r="D21" s="30" t="n">
        <v>0</v>
      </c>
      <c r="E21" s="29" t="s">
        <v>421</v>
      </c>
      <c r="G21" s="1"/>
      <c r="H21" s="1"/>
      <c r="I21" s="1"/>
      <c r="J21" s="1"/>
      <c r="K21" s="1"/>
      <c r="L21" s="1"/>
      <c r="M21" s="1"/>
      <c r="N21" s="1"/>
      <c r="O21" s="1"/>
      <c r="P21" s="1"/>
      <c r="Q21" s="1"/>
      <c r="R21" s="1"/>
      <c r="S21" s="1"/>
      <c r="T21" s="1"/>
      <c r="U21" s="1"/>
      <c r="V21" s="1"/>
      <c r="W21" s="1"/>
      <c r="X21" s="1"/>
      <c r="Y21" s="1"/>
      <c r="Z21" s="1"/>
    </row>
    <row r="22" customFormat="false" ht="15.75" hidden="false" customHeight="true" outlineLevel="0" collapsed="false">
      <c r="A22" s="23" t="n">
        <v>19</v>
      </c>
      <c r="B22" s="24" t="s">
        <v>152</v>
      </c>
      <c r="C22" s="25" t="n">
        <v>5</v>
      </c>
      <c r="D22" s="25" t="n">
        <v>0</v>
      </c>
      <c r="E22" s="24" t="s">
        <v>421</v>
      </c>
      <c r="G22" s="1"/>
      <c r="H22" s="1"/>
      <c r="I22" s="1"/>
      <c r="J22" s="1"/>
      <c r="K22" s="1"/>
      <c r="L22" s="1"/>
      <c r="M22" s="1"/>
      <c r="N22" s="1"/>
      <c r="O22" s="1"/>
      <c r="P22" s="1"/>
      <c r="Q22" s="1"/>
      <c r="R22" s="1"/>
      <c r="S22" s="1"/>
      <c r="T22" s="1"/>
      <c r="U22" s="1"/>
      <c r="V22" s="1"/>
      <c r="W22" s="1"/>
      <c r="X22" s="1"/>
      <c r="Y22" s="1"/>
      <c r="Z22" s="1"/>
    </row>
    <row r="23" customFormat="false" ht="15.75" hidden="false" customHeight="true" outlineLevel="0" collapsed="false">
      <c r="A23" s="28" t="n">
        <v>20</v>
      </c>
      <c r="B23" s="29" t="s">
        <v>84</v>
      </c>
      <c r="C23" s="30" t="n">
        <v>3</v>
      </c>
      <c r="D23" s="30" t="n">
        <v>1</v>
      </c>
      <c r="E23" s="29" t="s">
        <v>422</v>
      </c>
      <c r="G23" s="1"/>
      <c r="H23" s="1"/>
      <c r="I23" s="1"/>
      <c r="J23" s="1"/>
      <c r="K23" s="1"/>
      <c r="L23" s="1"/>
      <c r="M23" s="1"/>
      <c r="N23" s="1"/>
      <c r="O23" s="1"/>
      <c r="P23" s="1"/>
      <c r="Q23" s="1"/>
      <c r="R23" s="1"/>
      <c r="S23" s="1"/>
      <c r="T23" s="1"/>
      <c r="U23" s="1"/>
      <c r="V23" s="1"/>
      <c r="W23" s="1"/>
      <c r="X23" s="1"/>
      <c r="Y23" s="1"/>
      <c r="Z23" s="1"/>
    </row>
    <row r="24" customFormat="false" ht="15.75" hidden="false" customHeight="true" outlineLevel="0" collapsed="false">
      <c r="A24" s="23" t="n">
        <v>21</v>
      </c>
      <c r="B24" s="24" t="s">
        <v>86</v>
      </c>
      <c r="C24" s="25" t="n">
        <v>4</v>
      </c>
      <c r="D24" s="25" t="n">
        <v>0</v>
      </c>
      <c r="E24" s="24" t="s">
        <v>423</v>
      </c>
      <c r="G24" s="1"/>
      <c r="H24" s="1"/>
      <c r="I24" s="1"/>
      <c r="J24" s="1"/>
      <c r="K24" s="1"/>
      <c r="L24" s="1"/>
      <c r="M24" s="1"/>
      <c r="N24" s="1"/>
      <c r="O24" s="1"/>
      <c r="P24" s="1"/>
      <c r="Q24" s="1"/>
      <c r="R24" s="1"/>
      <c r="S24" s="1"/>
      <c r="T24" s="1"/>
      <c r="U24" s="1"/>
      <c r="V24" s="1"/>
      <c r="W24" s="1"/>
      <c r="X24" s="1"/>
      <c r="Y24" s="1"/>
      <c r="Z24" s="1"/>
    </row>
    <row r="25" customFormat="false" ht="15.75" hidden="false" customHeight="true" outlineLevel="0" collapsed="false">
      <c r="A25" s="28" t="n">
        <v>22</v>
      </c>
      <c r="B25" s="29" t="s">
        <v>101</v>
      </c>
      <c r="C25" s="30" t="n">
        <v>4</v>
      </c>
      <c r="D25" s="30" t="n">
        <v>0</v>
      </c>
      <c r="E25" s="29" t="s">
        <v>423</v>
      </c>
      <c r="G25" s="1"/>
      <c r="H25" s="1"/>
      <c r="I25" s="1"/>
      <c r="J25" s="1"/>
      <c r="K25" s="1"/>
      <c r="L25" s="1"/>
      <c r="M25" s="1"/>
      <c r="N25" s="1"/>
      <c r="O25" s="1"/>
      <c r="P25" s="1"/>
      <c r="Q25" s="1"/>
      <c r="R25" s="1"/>
      <c r="S25" s="1"/>
      <c r="T25" s="1"/>
      <c r="U25" s="1"/>
      <c r="V25" s="1"/>
      <c r="W25" s="1"/>
      <c r="X25" s="1"/>
      <c r="Y25" s="1"/>
      <c r="Z25" s="1"/>
    </row>
    <row r="26" customFormat="false" ht="15.75" hidden="false" customHeight="true" outlineLevel="0" collapsed="false">
      <c r="A26" s="23" t="n">
        <v>23</v>
      </c>
      <c r="B26" s="24" t="s">
        <v>137</v>
      </c>
      <c r="C26" s="25" t="n">
        <v>3</v>
      </c>
      <c r="D26" s="25" t="n">
        <v>1</v>
      </c>
      <c r="E26" s="24" t="s">
        <v>422</v>
      </c>
      <c r="G26" s="1"/>
      <c r="H26" s="1"/>
      <c r="I26" s="1"/>
      <c r="J26" s="1"/>
      <c r="K26" s="1"/>
      <c r="L26" s="1"/>
      <c r="M26" s="1"/>
      <c r="N26" s="1"/>
      <c r="O26" s="1"/>
      <c r="P26" s="1"/>
      <c r="Q26" s="1"/>
      <c r="R26" s="1"/>
      <c r="S26" s="1"/>
      <c r="T26" s="1"/>
      <c r="U26" s="1"/>
      <c r="V26" s="1"/>
      <c r="W26" s="1"/>
      <c r="X26" s="1"/>
      <c r="Y26" s="1"/>
      <c r="Z26" s="1"/>
    </row>
    <row r="27" customFormat="false" ht="15.75" hidden="false" customHeight="true" outlineLevel="0" collapsed="false">
      <c r="A27" s="28" t="n">
        <v>24</v>
      </c>
      <c r="B27" s="29" t="s">
        <v>150</v>
      </c>
      <c r="C27" s="30" t="n">
        <v>4</v>
      </c>
      <c r="D27" s="30" t="n">
        <v>0</v>
      </c>
      <c r="E27" s="29" t="s">
        <v>423</v>
      </c>
      <c r="G27" s="1"/>
      <c r="H27" s="1"/>
      <c r="I27" s="1"/>
      <c r="J27" s="1"/>
      <c r="K27" s="1"/>
      <c r="L27" s="1"/>
      <c r="M27" s="1"/>
      <c r="N27" s="1"/>
      <c r="O27" s="1"/>
      <c r="P27" s="1"/>
      <c r="Q27" s="1"/>
      <c r="R27" s="1"/>
      <c r="S27" s="1"/>
      <c r="T27" s="1"/>
      <c r="U27" s="1"/>
      <c r="V27" s="1"/>
      <c r="W27" s="1"/>
      <c r="X27" s="1"/>
      <c r="Y27" s="1"/>
      <c r="Z27" s="1"/>
    </row>
    <row r="28" customFormat="false" ht="15.75" hidden="false" customHeight="true" outlineLevel="0" collapsed="false">
      <c r="A28" s="23" t="n">
        <v>25</v>
      </c>
      <c r="B28" s="24" t="s">
        <v>66</v>
      </c>
      <c r="C28" s="25" t="n">
        <v>3</v>
      </c>
      <c r="D28" s="25" t="n">
        <v>0</v>
      </c>
      <c r="E28" s="24" t="s">
        <v>424</v>
      </c>
      <c r="G28" s="1"/>
      <c r="H28" s="1"/>
      <c r="I28" s="1"/>
      <c r="J28" s="1"/>
      <c r="K28" s="1"/>
      <c r="L28" s="1"/>
      <c r="M28" s="1"/>
      <c r="N28" s="1"/>
      <c r="O28" s="1"/>
      <c r="P28" s="1"/>
      <c r="Q28" s="1"/>
      <c r="R28" s="1"/>
      <c r="S28" s="1"/>
      <c r="T28" s="1"/>
      <c r="U28" s="1"/>
      <c r="V28" s="1"/>
      <c r="W28" s="1"/>
      <c r="X28" s="1"/>
      <c r="Y28" s="1"/>
      <c r="Z28" s="1"/>
    </row>
    <row r="29" customFormat="false" ht="15.75" hidden="false" customHeight="true" outlineLevel="0" collapsed="false">
      <c r="A29" s="28" t="n">
        <v>26</v>
      </c>
      <c r="B29" s="29" t="s">
        <v>70</v>
      </c>
      <c r="C29" s="30" t="n">
        <v>3</v>
      </c>
      <c r="D29" s="30" t="n">
        <v>0</v>
      </c>
      <c r="E29" s="29" t="s">
        <v>424</v>
      </c>
      <c r="G29" s="1"/>
      <c r="H29" s="1"/>
      <c r="I29" s="1"/>
      <c r="J29" s="1"/>
      <c r="K29" s="1"/>
      <c r="L29" s="1"/>
      <c r="M29" s="1"/>
      <c r="N29" s="1"/>
      <c r="O29" s="1"/>
      <c r="P29" s="1"/>
      <c r="Q29" s="1"/>
      <c r="R29" s="1"/>
      <c r="S29" s="1"/>
      <c r="T29" s="1"/>
      <c r="U29" s="1"/>
      <c r="V29" s="1"/>
      <c r="W29" s="1"/>
      <c r="X29" s="1"/>
      <c r="Y29" s="1"/>
      <c r="Z29" s="1"/>
    </row>
    <row r="30" customFormat="false" ht="15.75" hidden="false" customHeight="true" outlineLevel="0" collapsed="false">
      <c r="A30" s="23" t="n">
        <v>27</v>
      </c>
      <c r="B30" s="24" t="s">
        <v>80</v>
      </c>
      <c r="C30" s="25" t="n">
        <v>3</v>
      </c>
      <c r="D30" s="25" t="n">
        <v>0</v>
      </c>
      <c r="E30" s="24" t="s">
        <v>424</v>
      </c>
      <c r="G30" s="1"/>
      <c r="H30" s="1"/>
      <c r="I30" s="1"/>
      <c r="J30" s="1"/>
      <c r="K30" s="1"/>
      <c r="L30" s="1"/>
      <c r="M30" s="1"/>
      <c r="N30" s="1"/>
      <c r="O30" s="1"/>
      <c r="P30" s="1"/>
      <c r="Q30" s="1"/>
      <c r="R30" s="1"/>
      <c r="S30" s="1"/>
      <c r="T30" s="1"/>
      <c r="U30" s="1"/>
      <c r="V30" s="1"/>
      <c r="W30" s="1"/>
      <c r="X30" s="1"/>
      <c r="Y30" s="1"/>
      <c r="Z30" s="1"/>
    </row>
    <row r="31" customFormat="false" ht="15.75" hidden="false" customHeight="true" outlineLevel="0" collapsed="false">
      <c r="A31" s="28" t="n">
        <v>28</v>
      </c>
      <c r="B31" s="29" t="s">
        <v>103</v>
      </c>
      <c r="C31" s="30" t="n">
        <v>3</v>
      </c>
      <c r="D31" s="30" t="n">
        <v>0</v>
      </c>
      <c r="E31" s="29" t="s">
        <v>424</v>
      </c>
      <c r="G31" s="1"/>
      <c r="H31" s="1"/>
      <c r="I31" s="1"/>
      <c r="J31" s="1"/>
      <c r="K31" s="1"/>
      <c r="L31" s="1"/>
      <c r="M31" s="1"/>
      <c r="N31" s="1"/>
      <c r="O31" s="1"/>
      <c r="P31" s="1"/>
      <c r="Q31" s="1"/>
      <c r="R31" s="1"/>
      <c r="S31" s="1"/>
      <c r="T31" s="1"/>
      <c r="U31" s="1"/>
      <c r="V31" s="1"/>
      <c r="W31" s="1"/>
      <c r="X31" s="1"/>
      <c r="Y31" s="1"/>
      <c r="Z31" s="1"/>
    </row>
    <row r="32" customFormat="false" ht="15.75" hidden="false" customHeight="true" outlineLevel="0" collapsed="false">
      <c r="A32" s="23" t="n">
        <v>29</v>
      </c>
      <c r="B32" s="24" t="s">
        <v>113</v>
      </c>
      <c r="C32" s="25" t="n">
        <v>3</v>
      </c>
      <c r="D32" s="25" t="n">
        <v>0</v>
      </c>
      <c r="E32" s="24" t="s">
        <v>424</v>
      </c>
      <c r="G32" s="1"/>
      <c r="H32" s="1"/>
      <c r="I32" s="1"/>
      <c r="J32" s="1"/>
      <c r="K32" s="1"/>
      <c r="L32" s="1"/>
      <c r="M32" s="1"/>
      <c r="N32" s="1"/>
      <c r="O32" s="1"/>
      <c r="P32" s="1"/>
      <c r="Q32" s="1"/>
      <c r="R32" s="1"/>
      <c r="S32" s="1"/>
      <c r="T32" s="1"/>
      <c r="U32" s="1"/>
      <c r="V32" s="1"/>
      <c r="W32" s="1"/>
      <c r="X32" s="1"/>
      <c r="Y32" s="1"/>
      <c r="Z32" s="1"/>
    </row>
    <row r="33" customFormat="false" ht="15.75" hidden="false" customHeight="true" outlineLevel="0" collapsed="false">
      <c r="A33" s="28" t="n">
        <v>30</v>
      </c>
      <c r="B33" s="29" t="s">
        <v>126</v>
      </c>
      <c r="C33" s="30" t="n">
        <v>3</v>
      </c>
      <c r="D33" s="30" t="n">
        <v>0</v>
      </c>
      <c r="E33" s="29" t="s">
        <v>424</v>
      </c>
      <c r="G33" s="1"/>
      <c r="H33" s="1"/>
      <c r="I33" s="1"/>
      <c r="J33" s="1"/>
      <c r="K33" s="1"/>
      <c r="L33" s="1"/>
      <c r="M33" s="1"/>
      <c r="N33" s="1"/>
      <c r="O33" s="1"/>
      <c r="P33" s="1"/>
      <c r="Q33" s="1"/>
      <c r="R33" s="1"/>
      <c r="S33" s="1"/>
      <c r="T33" s="1"/>
      <c r="U33" s="1"/>
      <c r="V33" s="1"/>
      <c r="W33" s="1"/>
      <c r="X33" s="1"/>
      <c r="Y33" s="1"/>
      <c r="Z33" s="1"/>
    </row>
    <row r="34" customFormat="false" ht="15.75" hidden="false" customHeight="true" outlineLevel="0" collapsed="false">
      <c r="A34" s="23" t="n">
        <v>31</v>
      </c>
      <c r="B34" s="24" t="s">
        <v>133</v>
      </c>
      <c r="C34" s="25" t="n">
        <v>3</v>
      </c>
      <c r="D34" s="25" t="n">
        <v>0</v>
      </c>
      <c r="E34" s="24" t="s">
        <v>424</v>
      </c>
      <c r="G34" s="1"/>
      <c r="H34" s="1"/>
      <c r="I34" s="1"/>
      <c r="J34" s="1"/>
      <c r="K34" s="1"/>
      <c r="L34" s="1"/>
      <c r="M34" s="1"/>
      <c r="N34" s="1"/>
      <c r="O34" s="1"/>
      <c r="P34" s="1"/>
      <c r="Q34" s="1"/>
      <c r="R34" s="1"/>
      <c r="S34" s="1"/>
      <c r="T34" s="1"/>
      <c r="U34" s="1"/>
      <c r="V34" s="1"/>
      <c r="W34" s="1"/>
      <c r="X34" s="1"/>
      <c r="Y34" s="1"/>
      <c r="Z34" s="1"/>
    </row>
    <row r="35" customFormat="false" ht="15.75" hidden="false" customHeight="true" outlineLevel="0" collapsed="false">
      <c r="A35" s="28" t="n">
        <v>32</v>
      </c>
      <c r="B35" s="29" t="s">
        <v>141</v>
      </c>
      <c r="C35" s="30" t="n">
        <v>3</v>
      </c>
      <c r="D35" s="30" t="n">
        <v>0</v>
      </c>
      <c r="E35" s="29" t="s">
        <v>424</v>
      </c>
      <c r="G35" s="1"/>
      <c r="H35" s="1"/>
      <c r="I35" s="1"/>
      <c r="J35" s="1"/>
      <c r="K35" s="1"/>
      <c r="L35" s="1"/>
      <c r="M35" s="1"/>
      <c r="N35" s="1"/>
      <c r="O35" s="1"/>
      <c r="P35" s="1"/>
      <c r="Q35" s="1"/>
      <c r="R35" s="1"/>
      <c r="S35" s="1"/>
      <c r="T35" s="1"/>
      <c r="U35" s="1"/>
      <c r="V35" s="1"/>
      <c r="W35" s="1"/>
      <c r="X35" s="1"/>
      <c r="Y35" s="1"/>
      <c r="Z35" s="1"/>
    </row>
    <row r="36" customFormat="false" ht="15.75" hidden="false" customHeight="true" outlineLevel="0" collapsed="false">
      <c r="A36" s="23" t="n">
        <v>33</v>
      </c>
      <c r="B36" s="24" t="s">
        <v>93</v>
      </c>
      <c r="C36" s="25" t="n">
        <v>1</v>
      </c>
      <c r="D36" s="25" t="n">
        <v>1</v>
      </c>
      <c r="E36" s="24" t="s">
        <v>425</v>
      </c>
      <c r="G36" s="1"/>
      <c r="H36" s="1"/>
      <c r="I36" s="1"/>
      <c r="J36" s="1"/>
      <c r="K36" s="1"/>
      <c r="L36" s="1"/>
      <c r="M36" s="1"/>
      <c r="N36" s="1"/>
      <c r="O36" s="1"/>
      <c r="P36" s="1"/>
      <c r="Q36" s="1"/>
      <c r="R36" s="1"/>
      <c r="S36" s="1"/>
      <c r="T36" s="1"/>
      <c r="U36" s="1"/>
      <c r="V36" s="1"/>
      <c r="W36" s="1"/>
      <c r="X36" s="1"/>
      <c r="Y36" s="1"/>
      <c r="Z36" s="1"/>
    </row>
    <row r="37" customFormat="false" ht="15.75" hidden="false" customHeight="true" outlineLevel="0" collapsed="false">
      <c r="A37" s="28" t="n">
        <v>34</v>
      </c>
      <c r="B37" s="29" t="s">
        <v>99</v>
      </c>
      <c r="C37" s="30" t="n">
        <v>2</v>
      </c>
      <c r="D37" s="30" t="n">
        <v>0</v>
      </c>
      <c r="E37" s="29" t="s">
        <v>426</v>
      </c>
      <c r="G37" s="1"/>
      <c r="H37" s="1"/>
      <c r="I37" s="1"/>
      <c r="J37" s="1"/>
      <c r="K37" s="1"/>
      <c r="L37" s="1"/>
      <c r="M37" s="1"/>
      <c r="N37" s="1"/>
      <c r="O37" s="1"/>
      <c r="P37" s="1"/>
      <c r="Q37" s="1"/>
      <c r="R37" s="1"/>
      <c r="S37" s="1"/>
      <c r="T37" s="1"/>
      <c r="U37" s="1"/>
      <c r="V37" s="1"/>
      <c r="W37" s="1"/>
      <c r="X37" s="1"/>
      <c r="Y37" s="1"/>
      <c r="Z37" s="1"/>
    </row>
    <row r="38" customFormat="false" ht="15.75" hidden="false" customHeight="true" outlineLevel="0" collapsed="false">
      <c r="A38" s="23" t="n">
        <v>35</v>
      </c>
      <c r="B38" s="24" t="s">
        <v>121</v>
      </c>
      <c r="C38" s="25" t="n">
        <v>2</v>
      </c>
      <c r="D38" s="25" t="n">
        <v>0</v>
      </c>
      <c r="E38" s="24" t="s">
        <v>426</v>
      </c>
      <c r="G38" s="1"/>
      <c r="H38" s="1"/>
      <c r="I38" s="1"/>
      <c r="J38" s="1"/>
      <c r="K38" s="1"/>
      <c r="L38" s="1"/>
      <c r="M38" s="1"/>
      <c r="N38" s="1"/>
      <c r="O38" s="1"/>
      <c r="P38" s="1"/>
      <c r="Q38" s="1"/>
      <c r="R38" s="1"/>
      <c r="S38" s="1"/>
      <c r="T38" s="1"/>
      <c r="U38" s="1"/>
      <c r="V38" s="1"/>
      <c r="W38" s="1"/>
      <c r="X38" s="1"/>
      <c r="Y38" s="1"/>
      <c r="Z38" s="1"/>
    </row>
    <row r="39" customFormat="false" ht="15.75" hidden="false" customHeight="true" outlineLevel="0" collapsed="false">
      <c r="A39" s="28" t="n">
        <v>36</v>
      </c>
      <c r="B39" s="29" t="s">
        <v>124</v>
      </c>
      <c r="C39" s="30" t="n">
        <v>2</v>
      </c>
      <c r="D39" s="30" t="n">
        <v>0</v>
      </c>
      <c r="E39" s="29" t="s">
        <v>426</v>
      </c>
      <c r="G39" s="1"/>
      <c r="H39" s="1"/>
      <c r="I39" s="1"/>
      <c r="J39" s="1"/>
      <c r="K39" s="1"/>
      <c r="L39" s="1"/>
      <c r="M39" s="1"/>
      <c r="N39" s="1"/>
      <c r="O39" s="1"/>
      <c r="P39" s="1"/>
      <c r="Q39" s="1"/>
      <c r="R39" s="1"/>
      <c r="S39" s="1"/>
      <c r="T39" s="1"/>
      <c r="U39" s="1"/>
      <c r="V39" s="1"/>
      <c r="W39" s="1"/>
      <c r="X39" s="1"/>
      <c r="Y39" s="1"/>
      <c r="Z39" s="1"/>
    </row>
    <row r="40" customFormat="false" ht="15.75" hidden="false" customHeight="true" outlineLevel="0" collapsed="false">
      <c r="A40" s="23" t="n">
        <v>37</v>
      </c>
      <c r="B40" s="24" t="s">
        <v>131</v>
      </c>
      <c r="C40" s="25" t="n">
        <v>2</v>
      </c>
      <c r="D40" s="25" t="n">
        <v>0</v>
      </c>
      <c r="E40" s="24" t="s">
        <v>426</v>
      </c>
      <c r="G40" s="1"/>
      <c r="H40" s="1"/>
      <c r="I40" s="1"/>
      <c r="J40" s="1"/>
      <c r="K40" s="1"/>
      <c r="L40" s="1"/>
      <c r="M40" s="1"/>
      <c r="N40" s="1"/>
      <c r="O40" s="1"/>
      <c r="P40" s="1"/>
      <c r="Q40" s="1"/>
      <c r="R40" s="1"/>
      <c r="S40" s="1"/>
      <c r="T40" s="1"/>
      <c r="U40" s="1"/>
      <c r="V40" s="1"/>
      <c r="W40" s="1"/>
      <c r="X40" s="1"/>
      <c r="Y40" s="1"/>
      <c r="Z40" s="1"/>
    </row>
    <row r="41" customFormat="false" ht="15.75" hidden="false" customHeight="true" outlineLevel="0" collapsed="false">
      <c r="A41" s="28" t="n">
        <v>38</v>
      </c>
      <c r="B41" s="29" t="s">
        <v>148</v>
      </c>
      <c r="C41" s="30" t="n">
        <v>2</v>
      </c>
      <c r="D41" s="30" t="n">
        <v>0</v>
      </c>
      <c r="E41" s="29" t="s">
        <v>426</v>
      </c>
      <c r="G41" s="1"/>
      <c r="H41" s="1"/>
      <c r="I41" s="1"/>
      <c r="J41" s="1"/>
      <c r="K41" s="1"/>
      <c r="L41" s="1"/>
      <c r="M41" s="1"/>
      <c r="N41" s="1"/>
      <c r="O41" s="1"/>
      <c r="P41" s="1"/>
      <c r="Q41" s="1"/>
      <c r="R41" s="1"/>
      <c r="S41" s="1"/>
      <c r="T41" s="1"/>
      <c r="U41" s="1"/>
      <c r="V41" s="1"/>
      <c r="W41" s="1"/>
      <c r="X41" s="1"/>
      <c r="Y41" s="1"/>
      <c r="Z41" s="1"/>
    </row>
    <row r="42" customFormat="false" ht="15.75" hidden="false" customHeight="true" outlineLevel="0" collapsed="false">
      <c r="A42" s="23" t="n">
        <v>39</v>
      </c>
      <c r="B42" s="24" t="s">
        <v>76</v>
      </c>
      <c r="C42" s="25" t="n">
        <v>1</v>
      </c>
      <c r="D42" s="25" t="n">
        <v>0</v>
      </c>
      <c r="E42" s="24" t="s">
        <v>427</v>
      </c>
      <c r="G42" s="1"/>
      <c r="H42" s="1"/>
      <c r="I42" s="1"/>
      <c r="J42" s="1"/>
      <c r="K42" s="1"/>
      <c r="L42" s="1"/>
      <c r="M42" s="1"/>
      <c r="N42" s="1"/>
      <c r="O42" s="1"/>
      <c r="P42" s="1"/>
      <c r="Q42" s="1"/>
      <c r="R42" s="1"/>
      <c r="S42" s="1"/>
      <c r="T42" s="1"/>
      <c r="U42" s="1"/>
      <c r="V42" s="1"/>
      <c r="W42" s="1"/>
      <c r="X42" s="1"/>
      <c r="Y42" s="1"/>
      <c r="Z42" s="1"/>
    </row>
    <row r="43" customFormat="false" ht="15.75" hidden="false" customHeight="true" outlineLevel="0" collapsed="false">
      <c r="A43" s="28" t="n">
        <v>40</v>
      </c>
      <c r="B43" s="29" t="s">
        <v>88</v>
      </c>
      <c r="C43" s="30" t="n">
        <v>1</v>
      </c>
      <c r="D43" s="30" t="n">
        <v>0</v>
      </c>
      <c r="E43" s="29" t="s">
        <v>427</v>
      </c>
      <c r="G43" s="1"/>
      <c r="H43" s="1"/>
      <c r="I43" s="1"/>
      <c r="J43" s="1"/>
      <c r="K43" s="1"/>
      <c r="L43" s="1"/>
      <c r="M43" s="1"/>
      <c r="N43" s="1"/>
      <c r="O43" s="1"/>
      <c r="P43" s="1"/>
      <c r="Q43" s="1"/>
      <c r="R43" s="1"/>
      <c r="S43" s="1"/>
      <c r="T43" s="1"/>
      <c r="U43" s="1"/>
      <c r="V43" s="1"/>
      <c r="W43" s="1"/>
      <c r="X43" s="1"/>
      <c r="Y43" s="1"/>
      <c r="Z43" s="1"/>
    </row>
    <row r="44" customFormat="false" ht="15.75" hidden="false" customHeight="true" outlineLevel="0" collapsed="false">
      <c r="A44" s="23" t="n">
        <v>41</v>
      </c>
      <c r="B44" s="24" t="s">
        <v>95</v>
      </c>
      <c r="C44" s="25" t="n">
        <v>1</v>
      </c>
      <c r="D44" s="25" t="n">
        <v>0</v>
      </c>
      <c r="E44" s="24" t="s">
        <v>427</v>
      </c>
      <c r="G44" s="1"/>
      <c r="H44" s="1"/>
      <c r="I44" s="1"/>
      <c r="J44" s="1"/>
      <c r="K44" s="1"/>
      <c r="L44" s="1"/>
      <c r="M44" s="1"/>
      <c r="N44" s="1"/>
      <c r="O44" s="1"/>
      <c r="P44" s="1"/>
      <c r="Q44" s="1"/>
      <c r="R44" s="1"/>
      <c r="S44" s="1"/>
      <c r="T44" s="1"/>
      <c r="U44" s="1"/>
      <c r="V44" s="1"/>
      <c r="W44" s="1"/>
      <c r="X44" s="1"/>
      <c r="Y44" s="1"/>
      <c r="Z44" s="1"/>
    </row>
    <row r="45" customFormat="false" ht="15.75" hidden="false" customHeight="true" outlineLevel="0" collapsed="false">
      <c r="A45" s="28" t="n">
        <v>42</v>
      </c>
      <c r="B45" s="29" t="s">
        <v>128</v>
      </c>
      <c r="C45" s="30" t="n">
        <v>1</v>
      </c>
      <c r="D45" s="30" t="n">
        <v>0</v>
      </c>
      <c r="E45" s="29" t="s">
        <v>427</v>
      </c>
      <c r="G45" s="1"/>
      <c r="H45" s="1"/>
      <c r="I45" s="1"/>
      <c r="J45" s="1"/>
      <c r="K45" s="1"/>
      <c r="L45" s="1"/>
      <c r="M45" s="1"/>
      <c r="N45" s="1"/>
      <c r="O45" s="1"/>
      <c r="P45" s="1"/>
      <c r="Q45" s="1"/>
      <c r="R45" s="1"/>
      <c r="S45" s="1"/>
      <c r="T45" s="1"/>
      <c r="U45" s="1"/>
      <c r="V45" s="1"/>
      <c r="W45" s="1"/>
      <c r="X45" s="1"/>
      <c r="Y45" s="1"/>
      <c r="Z45" s="1"/>
    </row>
    <row r="46" customFormat="false" ht="15.75" hidden="false" customHeight="true" outlineLevel="0" collapsed="false">
      <c r="A46" s="87" t="s">
        <v>428</v>
      </c>
      <c r="B46" s="88"/>
      <c r="C46" s="89"/>
      <c r="D46" s="89"/>
      <c r="E46" s="88"/>
      <c r="G46" s="1"/>
      <c r="H46" s="1"/>
      <c r="I46" s="1"/>
      <c r="J46" s="1"/>
      <c r="K46" s="1"/>
      <c r="L46" s="1"/>
      <c r="M46" s="1"/>
      <c r="N46" s="1"/>
      <c r="O46" s="1"/>
      <c r="P46" s="1"/>
      <c r="Q46" s="1"/>
      <c r="R46" s="1"/>
      <c r="S46" s="1"/>
      <c r="T46" s="1"/>
      <c r="U46" s="1"/>
      <c r="V46" s="1"/>
      <c r="W46" s="1"/>
      <c r="X46" s="1"/>
      <c r="Y46" s="1"/>
      <c r="Z46" s="1"/>
    </row>
    <row r="47" customFormat="false" ht="15.75" hidden="false" customHeight="true" outlineLevel="0" collapsed="false">
      <c r="A47" s="44"/>
      <c r="B47" s="88"/>
      <c r="C47" s="89"/>
      <c r="D47" s="89"/>
      <c r="E47" s="88"/>
      <c r="G47" s="1"/>
      <c r="H47" s="1"/>
      <c r="I47" s="1"/>
      <c r="J47" s="1"/>
      <c r="K47" s="1"/>
      <c r="L47" s="1"/>
      <c r="M47" s="1"/>
      <c r="N47" s="1"/>
      <c r="O47" s="1"/>
      <c r="P47" s="1"/>
      <c r="Q47" s="1"/>
      <c r="R47" s="1"/>
      <c r="S47" s="1"/>
      <c r="T47" s="1"/>
      <c r="U47" s="1"/>
      <c r="V47" s="1"/>
      <c r="W47" s="1"/>
      <c r="X47" s="1"/>
      <c r="Y47" s="1"/>
      <c r="Z47" s="1"/>
    </row>
    <row r="48" customFormat="false" ht="15.75" hidden="false" customHeight="true" outlineLevel="0" collapsed="false">
      <c r="A48" s="44"/>
      <c r="B48" s="88"/>
      <c r="C48" s="89"/>
      <c r="D48" s="89"/>
      <c r="E48" s="88"/>
      <c r="G48" s="1"/>
      <c r="H48" s="1"/>
      <c r="I48" s="1"/>
      <c r="J48" s="1"/>
      <c r="K48" s="1"/>
      <c r="L48" s="1"/>
      <c r="M48" s="1"/>
      <c r="N48" s="1"/>
      <c r="O48" s="1"/>
      <c r="P48" s="1"/>
      <c r="Q48" s="1"/>
      <c r="R48" s="1"/>
      <c r="S48" s="1"/>
      <c r="T48" s="1"/>
      <c r="U48" s="1"/>
      <c r="V48" s="1"/>
      <c r="W48" s="1"/>
      <c r="X48" s="1"/>
      <c r="Y48" s="1"/>
      <c r="Z48" s="1"/>
    </row>
    <row r="49" customFormat="false" ht="15.75" hidden="false" customHeight="true" outlineLevel="0" collapsed="false">
      <c r="A49" s="44"/>
      <c r="B49" s="88"/>
      <c r="C49" s="89"/>
      <c r="D49" s="89"/>
      <c r="E49" s="88"/>
      <c r="G49" s="1"/>
      <c r="H49" s="1"/>
      <c r="I49" s="1"/>
      <c r="J49" s="1"/>
      <c r="K49" s="1"/>
      <c r="L49" s="1"/>
      <c r="M49" s="1"/>
      <c r="N49" s="1"/>
      <c r="O49" s="1"/>
      <c r="P49" s="1"/>
      <c r="Q49" s="1"/>
      <c r="R49" s="1"/>
      <c r="S49" s="1"/>
      <c r="T49" s="1"/>
      <c r="U49" s="1"/>
      <c r="V49" s="1"/>
      <c r="W49" s="1"/>
      <c r="X49" s="1"/>
      <c r="Y49" s="1"/>
      <c r="Z49" s="1"/>
    </row>
    <row r="50" customFormat="false" ht="15.75" hidden="false" customHeight="true" outlineLevel="0" collapsed="false">
      <c r="A50" s="44"/>
      <c r="B50" s="88"/>
      <c r="C50" s="89"/>
      <c r="D50" s="89"/>
      <c r="E50" s="88"/>
      <c r="G50" s="1"/>
      <c r="H50" s="1"/>
      <c r="I50" s="1"/>
      <c r="J50" s="1"/>
      <c r="K50" s="1"/>
      <c r="L50" s="1"/>
      <c r="M50" s="1"/>
      <c r="N50" s="1"/>
      <c r="O50" s="1"/>
      <c r="P50" s="1"/>
      <c r="Q50" s="1"/>
      <c r="R50" s="1"/>
      <c r="S50" s="1"/>
      <c r="T50" s="1"/>
      <c r="U50" s="1"/>
      <c r="V50" s="1"/>
      <c r="W50" s="1"/>
      <c r="X50" s="1"/>
      <c r="Y50" s="1"/>
      <c r="Z50" s="1"/>
    </row>
    <row r="51" customFormat="false" ht="15.75" hidden="false" customHeight="true" outlineLevel="0" collapsed="false">
      <c r="A51" s="44"/>
      <c r="B51" s="88"/>
      <c r="C51" s="89"/>
      <c r="D51" s="89"/>
      <c r="E51" s="88"/>
      <c r="G51" s="1"/>
      <c r="H51" s="1"/>
      <c r="I51" s="1"/>
      <c r="J51" s="1"/>
      <c r="K51" s="1"/>
      <c r="L51" s="1"/>
      <c r="M51" s="1"/>
      <c r="N51" s="1"/>
      <c r="O51" s="1"/>
      <c r="P51" s="1"/>
      <c r="Q51" s="1"/>
      <c r="R51" s="1"/>
      <c r="S51" s="1"/>
      <c r="T51" s="1"/>
      <c r="U51" s="1"/>
      <c r="V51" s="1"/>
      <c r="W51" s="1"/>
      <c r="X51" s="1"/>
      <c r="Y51" s="1"/>
      <c r="Z51" s="1"/>
    </row>
    <row r="52" customFormat="false" ht="15.75" hidden="false" customHeight="true" outlineLevel="0" collapsed="false">
      <c r="A52" s="90"/>
      <c r="B52" s="4"/>
      <c r="C52" s="4"/>
      <c r="D52" s="4"/>
      <c r="E52" s="4"/>
      <c r="G52" s="1"/>
      <c r="H52" s="1"/>
      <c r="I52" s="1"/>
      <c r="J52" s="1"/>
      <c r="K52" s="1"/>
      <c r="L52" s="1"/>
      <c r="M52" s="1"/>
      <c r="N52" s="1"/>
      <c r="O52" s="1"/>
      <c r="P52" s="1"/>
      <c r="Q52" s="1"/>
      <c r="R52" s="1"/>
      <c r="S52" s="1"/>
      <c r="T52" s="1"/>
      <c r="U52" s="1"/>
      <c r="V52" s="1"/>
      <c r="W52" s="1"/>
      <c r="X52" s="1"/>
      <c r="Y52" s="1"/>
      <c r="Z52" s="1"/>
    </row>
    <row r="53" customFormat="false" ht="15.75" hidden="false" customHeight="true" outlineLevel="0" collapsed="false">
      <c r="A53" s="91"/>
      <c r="B53" s="4"/>
      <c r="C53" s="4"/>
      <c r="D53" s="4"/>
      <c r="E53" s="4"/>
      <c r="G53" s="1"/>
      <c r="H53" s="1"/>
      <c r="I53" s="1"/>
      <c r="J53" s="1"/>
      <c r="K53" s="1"/>
      <c r="L53" s="1"/>
      <c r="M53" s="1"/>
      <c r="N53" s="1"/>
      <c r="O53" s="1"/>
      <c r="P53" s="1"/>
      <c r="Q53" s="1"/>
      <c r="R53" s="1"/>
      <c r="S53" s="1"/>
      <c r="T53" s="1"/>
      <c r="U53" s="1"/>
      <c r="V53" s="1"/>
      <c r="W53" s="1"/>
      <c r="X53" s="1"/>
      <c r="Y53" s="1"/>
      <c r="Z53" s="1"/>
    </row>
    <row r="54" customFormat="false" ht="15.75" hidden="false" customHeight="true" outlineLevel="0" collapsed="false">
      <c r="A54" s="91"/>
      <c r="B54" s="4"/>
      <c r="C54" s="4"/>
      <c r="D54" s="4"/>
      <c r="E54" s="4"/>
      <c r="G54" s="1"/>
      <c r="H54" s="1"/>
      <c r="I54" s="1"/>
      <c r="J54" s="1"/>
      <c r="K54" s="1"/>
      <c r="L54" s="1"/>
      <c r="M54" s="1"/>
      <c r="N54" s="1"/>
      <c r="O54" s="1"/>
      <c r="P54" s="1"/>
      <c r="Q54" s="1"/>
      <c r="R54" s="1"/>
      <c r="S54" s="1"/>
      <c r="T54" s="1"/>
      <c r="U54" s="1"/>
      <c r="V54" s="1"/>
      <c r="W54" s="1"/>
      <c r="X54" s="1"/>
      <c r="Y54" s="1"/>
      <c r="Z54" s="1"/>
    </row>
    <row r="55" customFormat="false" ht="15.75" hidden="false" customHeight="true" outlineLevel="0" collapsed="false">
      <c r="A55" s="91"/>
      <c r="B55" s="4"/>
      <c r="C55" s="4"/>
      <c r="D55" s="4"/>
      <c r="E55" s="4"/>
      <c r="G55" s="1"/>
      <c r="H55" s="1"/>
      <c r="I55" s="1"/>
      <c r="J55" s="1"/>
      <c r="K55" s="1"/>
      <c r="L55" s="1"/>
      <c r="M55" s="1"/>
      <c r="N55" s="1"/>
      <c r="O55" s="1"/>
      <c r="P55" s="1"/>
      <c r="Q55" s="1"/>
      <c r="R55" s="1"/>
      <c r="S55" s="1"/>
      <c r="T55" s="1"/>
      <c r="U55" s="1"/>
      <c r="V55" s="1"/>
      <c r="W55" s="1"/>
      <c r="X55" s="1"/>
      <c r="Y55" s="1"/>
      <c r="Z55" s="1"/>
    </row>
    <row r="56" customFormat="false" ht="15.75" hidden="false" customHeight="true" outlineLevel="0" collapsed="false">
      <c r="A56" s="91"/>
      <c r="B56" s="4"/>
      <c r="C56" s="4"/>
      <c r="D56" s="4"/>
      <c r="E56" s="4"/>
      <c r="G56" s="1"/>
      <c r="H56" s="1"/>
      <c r="I56" s="1"/>
      <c r="J56" s="1"/>
      <c r="K56" s="1"/>
      <c r="L56" s="1"/>
      <c r="M56" s="1"/>
      <c r="N56" s="1"/>
      <c r="O56" s="1"/>
      <c r="P56" s="1"/>
      <c r="Q56" s="1"/>
      <c r="R56" s="1"/>
      <c r="S56" s="1"/>
      <c r="T56" s="1"/>
      <c r="U56" s="1"/>
      <c r="V56" s="1"/>
      <c r="W56" s="1"/>
      <c r="X56" s="1"/>
      <c r="Y56" s="1"/>
      <c r="Z56" s="1"/>
    </row>
    <row r="57" customFormat="false" ht="15.75" hidden="false" customHeight="true" outlineLevel="0" collapsed="false">
      <c r="A57" s="4"/>
      <c r="B57" s="4"/>
      <c r="C57" s="4"/>
      <c r="D57" s="4"/>
      <c r="E57" s="4"/>
      <c r="G57" s="1"/>
      <c r="H57" s="1"/>
      <c r="I57" s="1"/>
      <c r="J57" s="1"/>
      <c r="K57" s="1"/>
      <c r="L57" s="1"/>
      <c r="M57" s="1"/>
      <c r="N57" s="1"/>
      <c r="O57" s="1"/>
      <c r="P57" s="1"/>
      <c r="Q57" s="1"/>
      <c r="R57" s="1"/>
      <c r="S57" s="1"/>
      <c r="T57" s="1"/>
      <c r="U57" s="1"/>
      <c r="V57" s="1"/>
      <c r="W57" s="1"/>
      <c r="X57" s="1"/>
      <c r="Y57" s="1"/>
      <c r="Z57" s="1"/>
    </row>
    <row r="58" customFormat="false" ht="15.75" hidden="false" customHeight="true" outlineLevel="0" collapsed="false">
      <c r="A58" s="4"/>
      <c r="B58" s="4"/>
      <c r="C58" s="4"/>
      <c r="D58" s="4"/>
      <c r="E58" s="4"/>
      <c r="G58" s="1"/>
      <c r="H58" s="1"/>
      <c r="I58" s="1"/>
      <c r="J58" s="1"/>
      <c r="K58" s="1"/>
      <c r="L58" s="1"/>
      <c r="M58" s="1"/>
      <c r="N58" s="1"/>
      <c r="O58" s="1"/>
      <c r="P58" s="1"/>
      <c r="Q58" s="1"/>
      <c r="R58" s="1"/>
      <c r="S58" s="1"/>
      <c r="T58" s="1"/>
      <c r="U58" s="1"/>
      <c r="V58" s="1"/>
      <c r="W58" s="1"/>
      <c r="X58" s="1"/>
      <c r="Y58" s="1"/>
      <c r="Z58" s="1"/>
    </row>
    <row r="59" customFormat="false" ht="15.75" hidden="false" customHeight="true" outlineLevel="0" collapsed="false">
      <c r="A59" s="4"/>
      <c r="B59" s="4"/>
      <c r="C59" s="4"/>
      <c r="D59" s="4"/>
      <c r="E59" s="4"/>
      <c r="G59" s="1"/>
      <c r="H59" s="1"/>
      <c r="I59" s="1"/>
      <c r="J59" s="1"/>
      <c r="K59" s="1"/>
      <c r="L59" s="1"/>
      <c r="M59" s="1"/>
      <c r="N59" s="1"/>
      <c r="O59" s="1"/>
      <c r="P59" s="1"/>
      <c r="Q59" s="1"/>
      <c r="R59" s="1"/>
      <c r="S59" s="1"/>
      <c r="T59" s="1"/>
      <c r="U59" s="1"/>
      <c r="V59" s="1"/>
      <c r="W59" s="1"/>
      <c r="X59" s="1"/>
      <c r="Y59" s="1"/>
      <c r="Z59" s="1"/>
    </row>
    <row r="60" customFormat="false" ht="15.75" hidden="false" customHeight="true" outlineLevel="0" collapsed="false">
      <c r="G60" s="1"/>
      <c r="H60" s="1"/>
      <c r="I60" s="1"/>
      <c r="J60" s="1"/>
      <c r="K60" s="1"/>
      <c r="L60" s="1"/>
      <c r="M60" s="1"/>
      <c r="N60" s="1"/>
      <c r="O60" s="1"/>
      <c r="P60" s="1"/>
      <c r="Q60" s="1"/>
      <c r="R60" s="1"/>
      <c r="S60" s="1"/>
      <c r="T60" s="1"/>
      <c r="U60" s="1"/>
      <c r="V60" s="1"/>
      <c r="W60" s="1"/>
      <c r="X60" s="1"/>
      <c r="Y60" s="1"/>
      <c r="Z60" s="1"/>
    </row>
    <row r="61" customFormat="false" ht="15.75" hidden="false" customHeight="true" outlineLevel="0" collapsed="false">
      <c r="G61" s="1"/>
      <c r="H61" s="1"/>
      <c r="I61" s="1"/>
      <c r="J61" s="1"/>
      <c r="K61" s="1"/>
      <c r="L61" s="1"/>
      <c r="M61" s="1"/>
      <c r="N61" s="1"/>
      <c r="O61" s="1"/>
      <c r="P61" s="1"/>
      <c r="Q61" s="1"/>
      <c r="R61" s="1"/>
      <c r="S61" s="1"/>
      <c r="T61" s="1"/>
      <c r="U61" s="1"/>
      <c r="V61" s="1"/>
      <c r="W61" s="1"/>
      <c r="X61" s="1"/>
      <c r="Y61" s="1"/>
      <c r="Z61" s="1"/>
    </row>
    <row r="62" customFormat="false" ht="15.75" hidden="false" customHeight="true" outlineLevel="0" collapsed="false">
      <c r="G62" s="1"/>
      <c r="H62" s="1"/>
      <c r="I62" s="1"/>
      <c r="J62" s="1"/>
      <c r="K62" s="1"/>
      <c r="L62" s="1"/>
      <c r="M62" s="1"/>
      <c r="N62" s="1"/>
      <c r="O62" s="1"/>
      <c r="P62" s="1"/>
      <c r="Q62" s="1"/>
      <c r="R62" s="1"/>
      <c r="S62" s="1"/>
      <c r="T62" s="1"/>
      <c r="U62" s="1"/>
      <c r="V62" s="1"/>
      <c r="W62" s="1"/>
      <c r="X62" s="1"/>
      <c r="Y62" s="1"/>
      <c r="Z62" s="1"/>
    </row>
    <row r="63" customFormat="false" ht="15.75" hidden="false" customHeight="true" outlineLevel="0" collapsed="false">
      <c r="G63" s="1"/>
      <c r="H63" s="1"/>
      <c r="I63" s="1"/>
      <c r="J63" s="1"/>
      <c r="K63" s="1"/>
      <c r="L63" s="1"/>
      <c r="M63" s="1"/>
      <c r="N63" s="1"/>
      <c r="O63" s="1"/>
      <c r="P63" s="1"/>
      <c r="Q63" s="1"/>
      <c r="R63" s="1"/>
      <c r="S63" s="1"/>
      <c r="T63" s="1"/>
      <c r="U63" s="1"/>
      <c r="V63" s="1"/>
      <c r="W63" s="1"/>
      <c r="X63" s="1"/>
      <c r="Y63" s="1"/>
      <c r="Z63" s="1"/>
    </row>
    <row r="64" customFormat="false" ht="15.75" hidden="false" customHeight="true" outlineLevel="0" collapsed="false">
      <c r="G64" s="1"/>
      <c r="H64" s="1"/>
      <c r="I64" s="1"/>
      <c r="J64" s="1"/>
      <c r="K64" s="1"/>
      <c r="L64" s="1"/>
      <c r="M64" s="1"/>
      <c r="N64" s="1"/>
      <c r="O64" s="1"/>
      <c r="P64" s="1"/>
      <c r="Q64" s="1"/>
      <c r="R64" s="1"/>
      <c r="S64" s="1"/>
      <c r="T64" s="1"/>
      <c r="U64" s="1"/>
      <c r="V64" s="1"/>
      <c r="W64" s="1"/>
      <c r="X64" s="1"/>
      <c r="Y64" s="1"/>
      <c r="Z64" s="1"/>
    </row>
    <row r="65" customFormat="false" ht="15.75" hidden="false" customHeight="true" outlineLevel="0" collapsed="false">
      <c r="G65" s="1"/>
      <c r="H65" s="1"/>
      <c r="I65" s="1"/>
      <c r="J65" s="1"/>
      <c r="K65" s="1"/>
      <c r="L65" s="1"/>
      <c r="M65" s="1"/>
      <c r="N65" s="1"/>
      <c r="O65" s="1"/>
      <c r="P65" s="1"/>
      <c r="Q65" s="1"/>
      <c r="R65" s="1"/>
      <c r="S65" s="1"/>
      <c r="T65" s="1"/>
      <c r="U65" s="1"/>
      <c r="V65" s="1"/>
      <c r="W65" s="1"/>
      <c r="X65" s="1"/>
      <c r="Y65" s="1"/>
      <c r="Z65" s="1"/>
    </row>
    <row r="66" customFormat="false" ht="15.75" hidden="false" customHeight="true" outlineLevel="0" collapsed="false">
      <c r="G66" s="1"/>
      <c r="H66" s="1"/>
      <c r="I66" s="1"/>
      <c r="J66" s="1"/>
      <c r="K66" s="1"/>
      <c r="L66" s="1"/>
      <c r="M66" s="1"/>
      <c r="N66" s="1"/>
      <c r="O66" s="1"/>
      <c r="P66" s="1"/>
      <c r="Q66" s="1"/>
      <c r="R66" s="1"/>
      <c r="S66" s="1"/>
      <c r="T66" s="1"/>
      <c r="U66" s="1"/>
      <c r="V66" s="1"/>
      <c r="W66" s="1"/>
      <c r="X66" s="1"/>
      <c r="Y66" s="1"/>
      <c r="Z66" s="1"/>
    </row>
    <row r="67" customFormat="false" ht="15.75" hidden="false" customHeight="true" outlineLevel="0" collapsed="false">
      <c r="G67" s="1"/>
      <c r="H67" s="1"/>
      <c r="I67" s="1"/>
      <c r="J67" s="1"/>
      <c r="K67" s="1"/>
      <c r="L67" s="1"/>
      <c r="M67" s="1"/>
      <c r="N67" s="1"/>
      <c r="O67" s="1"/>
      <c r="P67" s="1"/>
      <c r="Q67" s="1"/>
      <c r="R67" s="1"/>
      <c r="S67" s="1"/>
      <c r="T67" s="1"/>
      <c r="U67" s="1"/>
      <c r="V67" s="1"/>
      <c r="W67" s="1"/>
      <c r="X67" s="1"/>
      <c r="Y67" s="1"/>
      <c r="Z67" s="1"/>
    </row>
    <row r="68" customFormat="false" ht="15.75" hidden="false" customHeight="true" outlineLevel="0" collapsed="false">
      <c r="G68" s="1"/>
      <c r="H68" s="1"/>
      <c r="I68" s="1"/>
      <c r="J68" s="1"/>
      <c r="K68" s="1"/>
      <c r="L68" s="1"/>
      <c r="M68" s="1"/>
      <c r="N68" s="1"/>
      <c r="O68" s="1"/>
      <c r="P68" s="1"/>
      <c r="Q68" s="1"/>
      <c r="R68" s="1"/>
      <c r="S68" s="1"/>
      <c r="T68" s="1"/>
      <c r="U68" s="1"/>
      <c r="V68" s="1"/>
      <c r="W68" s="1"/>
      <c r="X68" s="1"/>
      <c r="Y68" s="1"/>
      <c r="Z68" s="1"/>
    </row>
    <row r="69" customFormat="false" ht="15.75" hidden="false" customHeight="true" outlineLevel="0" collapsed="false">
      <c r="G69" s="1"/>
      <c r="H69" s="1"/>
      <c r="I69" s="1"/>
      <c r="J69" s="1"/>
      <c r="K69" s="1"/>
      <c r="L69" s="1"/>
      <c r="M69" s="1"/>
      <c r="N69" s="1"/>
      <c r="O69" s="1"/>
      <c r="P69" s="1"/>
      <c r="Q69" s="1"/>
      <c r="R69" s="1"/>
      <c r="S69" s="1"/>
      <c r="T69" s="1"/>
      <c r="U69" s="1"/>
      <c r="V69" s="1"/>
      <c r="W69" s="1"/>
      <c r="X69" s="1"/>
      <c r="Y69" s="1"/>
      <c r="Z69" s="1"/>
    </row>
    <row r="70" customFormat="false" ht="15.75" hidden="false" customHeight="true" outlineLevel="0" collapsed="false">
      <c r="G70" s="1"/>
      <c r="H70" s="1"/>
      <c r="I70" s="1"/>
      <c r="J70" s="1"/>
      <c r="K70" s="1"/>
      <c r="L70" s="1"/>
      <c r="M70" s="1"/>
      <c r="N70" s="1"/>
      <c r="O70" s="1"/>
      <c r="P70" s="1"/>
      <c r="Q70" s="1"/>
      <c r="R70" s="1"/>
      <c r="S70" s="1"/>
      <c r="T70" s="1"/>
      <c r="U70" s="1"/>
      <c r="V70" s="1"/>
      <c r="W70" s="1"/>
      <c r="X70" s="1"/>
      <c r="Y70" s="1"/>
      <c r="Z70" s="1"/>
    </row>
    <row r="71" customFormat="false" ht="15.75" hidden="false" customHeight="true" outlineLevel="0" collapsed="false">
      <c r="G71" s="1"/>
      <c r="H71" s="1"/>
      <c r="I71" s="1"/>
      <c r="J71" s="1"/>
      <c r="K71" s="1"/>
      <c r="L71" s="1"/>
      <c r="M71" s="1"/>
      <c r="N71" s="1"/>
      <c r="O71" s="1"/>
      <c r="P71" s="1"/>
      <c r="Q71" s="1"/>
      <c r="R71" s="1"/>
      <c r="S71" s="1"/>
      <c r="T71" s="1"/>
      <c r="U71" s="1"/>
      <c r="V71" s="1"/>
      <c r="W71" s="1"/>
      <c r="X71" s="1"/>
      <c r="Y71" s="1"/>
      <c r="Z71" s="1"/>
    </row>
    <row r="72" customFormat="false" ht="15.75" hidden="false" customHeight="true" outlineLevel="0" collapsed="false">
      <c r="G72" s="1"/>
      <c r="H72" s="1"/>
      <c r="I72" s="1"/>
      <c r="J72" s="1"/>
      <c r="K72" s="1"/>
      <c r="L72" s="1"/>
      <c r="M72" s="1"/>
      <c r="N72" s="1"/>
      <c r="O72" s="1"/>
      <c r="P72" s="1"/>
      <c r="Q72" s="1"/>
      <c r="R72" s="1"/>
      <c r="S72" s="1"/>
      <c r="T72" s="1"/>
      <c r="U72" s="1"/>
      <c r="V72" s="1"/>
      <c r="W72" s="1"/>
      <c r="X72" s="1"/>
      <c r="Y72" s="1"/>
      <c r="Z72" s="1"/>
    </row>
    <row r="73" customFormat="false" ht="15.75" hidden="false" customHeight="true" outlineLevel="0" collapsed="false">
      <c r="G73" s="1"/>
      <c r="H73" s="1"/>
      <c r="I73" s="1"/>
      <c r="J73" s="1"/>
      <c r="K73" s="1"/>
      <c r="L73" s="1"/>
      <c r="M73" s="1"/>
      <c r="N73" s="1"/>
      <c r="O73" s="1"/>
      <c r="P73" s="1"/>
      <c r="Q73" s="1"/>
      <c r="R73" s="1"/>
      <c r="S73" s="1"/>
      <c r="T73" s="1"/>
      <c r="U73" s="1"/>
      <c r="V73" s="1"/>
      <c r="W73" s="1"/>
      <c r="X73" s="1"/>
      <c r="Y73" s="1"/>
      <c r="Z73" s="1"/>
    </row>
    <row r="74" customFormat="false" ht="15.75" hidden="false" customHeight="true" outlineLevel="0" collapsed="false">
      <c r="G74" s="1"/>
      <c r="H74" s="1"/>
      <c r="I74" s="1"/>
      <c r="J74" s="1"/>
      <c r="K74" s="1"/>
      <c r="L74" s="1"/>
      <c r="M74" s="1"/>
      <c r="N74" s="1"/>
      <c r="O74" s="1"/>
      <c r="P74" s="1"/>
      <c r="Q74" s="1"/>
      <c r="R74" s="1"/>
      <c r="S74" s="1"/>
      <c r="T74" s="1"/>
      <c r="U74" s="1"/>
      <c r="V74" s="1"/>
      <c r="W74" s="1"/>
      <c r="X74" s="1"/>
      <c r="Y74" s="1"/>
      <c r="Z74" s="1"/>
    </row>
    <row r="75" customFormat="false" ht="15.75" hidden="false" customHeight="true" outlineLevel="0" collapsed="false">
      <c r="G75" s="1"/>
      <c r="H75" s="1"/>
      <c r="I75" s="1"/>
      <c r="J75" s="1"/>
      <c r="K75" s="1"/>
      <c r="L75" s="1"/>
      <c r="M75" s="1"/>
      <c r="N75" s="1"/>
      <c r="O75" s="1"/>
      <c r="P75" s="1"/>
      <c r="Q75" s="1"/>
      <c r="R75" s="1"/>
      <c r="S75" s="1"/>
      <c r="T75" s="1"/>
      <c r="U75" s="1"/>
      <c r="V75" s="1"/>
      <c r="W75" s="1"/>
      <c r="X75" s="1"/>
      <c r="Y75" s="1"/>
      <c r="Z75" s="1"/>
    </row>
    <row r="76" customFormat="false" ht="15.75" hidden="false" customHeight="true" outlineLevel="0" collapsed="false">
      <c r="G76" s="1"/>
      <c r="H76" s="1"/>
      <c r="I76" s="1"/>
      <c r="J76" s="1"/>
      <c r="K76" s="1"/>
      <c r="L76" s="1"/>
      <c r="M76" s="1"/>
      <c r="N76" s="1"/>
      <c r="O76" s="1"/>
      <c r="P76" s="1"/>
      <c r="Q76" s="1"/>
      <c r="R76" s="1"/>
      <c r="S76" s="1"/>
      <c r="T76" s="1"/>
      <c r="U76" s="1"/>
      <c r="V76" s="1"/>
      <c r="W76" s="1"/>
      <c r="X76" s="1"/>
      <c r="Y76" s="1"/>
      <c r="Z76" s="1"/>
    </row>
    <row r="77" customFormat="false" ht="15.75" hidden="false" customHeight="true" outlineLevel="0" collapsed="false">
      <c r="G77" s="1"/>
      <c r="H77" s="1"/>
      <c r="I77" s="1"/>
      <c r="J77" s="1"/>
      <c r="K77" s="1"/>
      <c r="L77" s="1"/>
      <c r="M77" s="1"/>
      <c r="N77" s="1"/>
      <c r="O77" s="1"/>
      <c r="P77" s="1"/>
      <c r="Q77" s="1"/>
      <c r="R77" s="1"/>
      <c r="S77" s="1"/>
      <c r="T77" s="1"/>
      <c r="U77" s="1"/>
      <c r="V77" s="1"/>
      <c r="W77" s="1"/>
      <c r="X77" s="1"/>
      <c r="Y77" s="1"/>
      <c r="Z77" s="1"/>
    </row>
    <row r="78" customFormat="false" ht="15.75" hidden="false" customHeight="true" outlineLevel="0" collapsed="false">
      <c r="G78" s="1"/>
      <c r="H78" s="1"/>
      <c r="I78" s="1"/>
      <c r="J78" s="1"/>
      <c r="K78" s="1"/>
      <c r="L78" s="1"/>
      <c r="M78" s="1"/>
      <c r="N78" s="1"/>
      <c r="O78" s="1"/>
      <c r="P78" s="1"/>
      <c r="Q78" s="1"/>
      <c r="R78" s="1"/>
      <c r="S78" s="1"/>
      <c r="T78" s="1"/>
      <c r="U78" s="1"/>
      <c r="V78" s="1"/>
      <c r="W78" s="1"/>
      <c r="X78" s="1"/>
      <c r="Y78" s="1"/>
      <c r="Z78" s="1"/>
    </row>
    <row r="79" customFormat="false" ht="15.75" hidden="false" customHeight="true" outlineLevel="0" collapsed="false">
      <c r="G79" s="1"/>
      <c r="H79" s="1"/>
      <c r="I79" s="1"/>
      <c r="J79" s="1"/>
      <c r="K79" s="1"/>
      <c r="L79" s="1"/>
      <c r="M79" s="1"/>
      <c r="N79" s="1"/>
      <c r="O79" s="1"/>
      <c r="P79" s="1"/>
      <c r="Q79" s="1"/>
      <c r="R79" s="1"/>
      <c r="S79" s="1"/>
      <c r="T79" s="1"/>
      <c r="U79" s="1"/>
      <c r="V79" s="1"/>
      <c r="W79" s="1"/>
      <c r="X79" s="1"/>
      <c r="Y79" s="1"/>
      <c r="Z79" s="1"/>
    </row>
    <row r="80" customFormat="false" ht="15.75" hidden="false" customHeight="true" outlineLevel="0" collapsed="false">
      <c r="G80" s="1"/>
      <c r="H80" s="1"/>
      <c r="I80" s="1"/>
      <c r="J80" s="1"/>
      <c r="K80" s="1"/>
      <c r="L80" s="1"/>
      <c r="M80" s="1"/>
      <c r="N80" s="1"/>
      <c r="O80" s="1"/>
      <c r="P80" s="1"/>
      <c r="Q80" s="1"/>
      <c r="R80" s="1"/>
      <c r="S80" s="1"/>
      <c r="T80" s="1"/>
      <c r="U80" s="1"/>
      <c r="V80" s="1"/>
      <c r="W80" s="1"/>
      <c r="X80" s="1"/>
      <c r="Y80" s="1"/>
      <c r="Z80" s="1"/>
    </row>
    <row r="81" customFormat="false" ht="15.75" hidden="false" customHeight="true" outlineLevel="0" collapsed="false">
      <c r="G81" s="1"/>
      <c r="H81" s="1"/>
      <c r="I81" s="1"/>
      <c r="J81" s="1"/>
      <c r="K81" s="1"/>
      <c r="L81" s="1"/>
      <c r="M81" s="1"/>
      <c r="N81" s="1"/>
      <c r="O81" s="1"/>
      <c r="P81" s="1"/>
      <c r="Q81" s="1"/>
      <c r="R81" s="1"/>
      <c r="S81" s="1"/>
      <c r="T81" s="1"/>
      <c r="U81" s="1"/>
      <c r="V81" s="1"/>
      <c r="W81" s="1"/>
      <c r="X81" s="1"/>
      <c r="Y81" s="1"/>
      <c r="Z81" s="1"/>
    </row>
    <row r="82" customFormat="false" ht="15.75" hidden="false" customHeight="true" outlineLevel="0" collapsed="false">
      <c r="G82" s="1"/>
      <c r="H82" s="1"/>
      <c r="I82" s="1"/>
      <c r="J82" s="1"/>
      <c r="K82" s="1"/>
      <c r="L82" s="1"/>
      <c r="M82" s="1"/>
      <c r="N82" s="1"/>
      <c r="O82" s="1"/>
      <c r="P82" s="1"/>
      <c r="Q82" s="1"/>
      <c r="R82" s="1"/>
      <c r="S82" s="1"/>
      <c r="T82" s="1"/>
      <c r="U82" s="1"/>
      <c r="V82" s="1"/>
      <c r="W82" s="1"/>
      <c r="X82" s="1"/>
      <c r="Y82" s="1"/>
      <c r="Z82" s="1"/>
    </row>
    <row r="83" customFormat="false" ht="15.75" hidden="false" customHeight="true" outlineLevel="0" collapsed="false">
      <c r="G83" s="1"/>
      <c r="H83" s="1"/>
      <c r="I83" s="1"/>
      <c r="J83" s="1"/>
      <c r="K83" s="1"/>
      <c r="L83" s="1"/>
      <c r="M83" s="1"/>
      <c r="N83" s="1"/>
      <c r="O83" s="1"/>
      <c r="P83" s="1"/>
      <c r="Q83" s="1"/>
      <c r="R83" s="1"/>
      <c r="S83" s="1"/>
      <c r="T83" s="1"/>
      <c r="U83" s="1"/>
      <c r="V83" s="1"/>
      <c r="W83" s="1"/>
      <c r="X83" s="1"/>
      <c r="Y83" s="1"/>
      <c r="Z83" s="1"/>
    </row>
    <row r="84" customFormat="false" ht="15.75" hidden="false" customHeight="true" outlineLevel="0" collapsed="false">
      <c r="G84" s="1"/>
      <c r="H84" s="1"/>
      <c r="I84" s="1"/>
      <c r="J84" s="1"/>
      <c r="K84" s="1"/>
      <c r="L84" s="1"/>
      <c r="M84" s="1"/>
      <c r="N84" s="1"/>
      <c r="O84" s="1"/>
      <c r="P84" s="1"/>
      <c r="Q84" s="1"/>
      <c r="R84" s="1"/>
      <c r="S84" s="1"/>
      <c r="T84" s="1"/>
      <c r="U84" s="1"/>
      <c r="V84" s="1"/>
      <c r="W84" s="1"/>
      <c r="X84" s="1"/>
      <c r="Y84" s="1"/>
      <c r="Z84" s="1"/>
    </row>
    <row r="85" customFormat="false" ht="15.75" hidden="false" customHeight="true" outlineLevel="0" collapsed="false">
      <c r="G85" s="1"/>
      <c r="H85" s="1"/>
      <c r="I85" s="1"/>
      <c r="J85" s="1"/>
      <c r="K85" s="1"/>
      <c r="L85" s="1"/>
      <c r="M85" s="1"/>
      <c r="N85" s="1"/>
      <c r="O85" s="1"/>
      <c r="P85" s="1"/>
      <c r="Q85" s="1"/>
      <c r="R85" s="1"/>
      <c r="S85" s="1"/>
      <c r="T85" s="1"/>
      <c r="U85" s="1"/>
      <c r="V85" s="1"/>
      <c r="W85" s="1"/>
      <c r="X85" s="1"/>
      <c r="Y85" s="1"/>
      <c r="Z85" s="1"/>
    </row>
    <row r="86" customFormat="false" ht="15.75" hidden="false" customHeight="true" outlineLevel="0" collapsed="false">
      <c r="G86" s="1"/>
      <c r="H86" s="1"/>
      <c r="I86" s="1"/>
      <c r="J86" s="1"/>
      <c r="K86" s="1"/>
      <c r="L86" s="1"/>
      <c r="M86" s="1"/>
      <c r="N86" s="1"/>
      <c r="O86" s="1"/>
      <c r="P86" s="1"/>
      <c r="Q86" s="1"/>
      <c r="R86" s="1"/>
      <c r="S86" s="1"/>
      <c r="T86" s="1"/>
      <c r="U86" s="1"/>
      <c r="V86" s="1"/>
      <c r="W86" s="1"/>
      <c r="X86" s="1"/>
      <c r="Y86" s="1"/>
      <c r="Z86" s="1"/>
    </row>
    <row r="87" customFormat="false" ht="15.75" hidden="false" customHeight="true" outlineLevel="0" collapsed="false">
      <c r="G87" s="1"/>
      <c r="H87" s="1"/>
      <c r="I87" s="1"/>
      <c r="J87" s="1"/>
      <c r="K87" s="1"/>
      <c r="L87" s="1"/>
      <c r="M87" s="1"/>
      <c r="N87" s="1"/>
      <c r="O87" s="1"/>
      <c r="P87" s="1"/>
      <c r="Q87" s="1"/>
      <c r="R87" s="1"/>
      <c r="S87" s="1"/>
      <c r="T87" s="1"/>
      <c r="U87" s="1"/>
      <c r="V87" s="1"/>
      <c r="W87" s="1"/>
      <c r="X87" s="1"/>
      <c r="Y87" s="1"/>
      <c r="Z87" s="1"/>
    </row>
    <row r="88" customFormat="false" ht="15.75" hidden="false" customHeight="true" outlineLevel="0" collapsed="false">
      <c r="G88" s="1"/>
      <c r="H88" s="1"/>
      <c r="I88" s="1"/>
      <c r="J88" s="1"/>
      <c r="K88" s="1"/>
      <c r="L88" s="1"/>
      <c r="M88" s="1"/>
      <c r="N88" s="1"/>
      <c r="O88" s="1"/>
      <c r="P88" s="1"/>
      <c r="Q88" s="1"/>
      <c r="R88" s="1"/>
      <c r="S88" s="1"/>
      <c r="T88" s="1"/>
      <c r="U88" s="1"/>
      <c r="V88" s="1"/>
      <c r="W88" s="1"/>
      <c r="X88" s="1"/>
      <c r="Y88" s="1"/>
      <c r="Z88" s="1"/>
    </row>
    <row r="89" customFormat="false" ht="15.75" hidden="false" customHeight="true" outlineLevel="0" collapsed="false">
      <c r="G89" s="1"/>
      <c r="H89" s="1"/>
      <c r="I89" s="1"/>
      <c r="J89" s="1"/>
      <c r="K89" s="1"/>
      <c r="L89" s="1"/>
      <c r="M89" s="1"/>
      <c r="N89" s="1"/>
      <c r="O89" s="1"/>
      <c r="P89" s="1"/>
      <c r="Q89" s="1"/>
      <c r="R89" s="1"/>
      <c r="S89" s="1"/>
      <c r="T89" s="1"/>
      <c r="U89" s="1"/>
      <c r="V89" s="1"/>
      <c r="W89" s="1"/>
      <c r="X89" s="1"/>
      <c r="Y89" s="1"/>
      <c r="Z89" s="1"/>
    </row>
    <row r="90" customFormat="false" ht="15.75" hidden="false" customHeight="true" outlineLevel="0" collapsed="false">
      <c r="G90" s="1"/>
      <c r="H90" s="1"/>
      <c r="I90" s="1"/>
      <c r="J90" s="1"/>
      <c r="K90" s="1"/>
      <c r="L90" s="1"/>
      <c r="M90" s="1"/>
      <c r="N90" s="1"/>
      <c r="O90" s="1"/>
      <c r="P90" s="1"/>
      <c r="Q90" s="1"/>
      <c r="R90" s="1"/>
      <c r="S90" s="1"/>
      <c r="T90" s="1"/>
      <c r="U90" s="1"/>
      <c r="V90" s="1"/>
      <c r="W90" s="1"/>
      <c r="X90" s="1"/>
      <c r="Y90" s="1"/>
      <c r="Z90" s="1"/>
    </row>
    <row r="91" customFormat="false" ht="15.75" hidden="false" customHeight="true" outlineLevel="0" collapsed="false">
      <c r="G91" s="1"/>
      <c r="H91" s="1"/>
      <c r="I91" s="1"/>
      <c r="J91" s="1"/>
      <c r="K91" s="1"/>
      <c r="L91" s="1"/>
      <c r="M91" s="1"/>
      <c r="N91" s="1"/>
      <c r="O91" s="1"/>
      <c r="P91" s="1"/>
      <c r="Q91" s="1"/>
      <c r="R91" s="1"/>
      <c r="S91" s="1"/>
      <c r="T91" s="1"/>
      <c r="U91" s="1"/>
      <c r="V91" s="1"/>
      <c r="W91" s="1"/>
      <c r="X91" s="1"/>
      <c r="Y91" s="1"/>
      <c r="Z91" s="1"/>
    </row>
    <row r="92" customFormat="false" ht="15.75" hidden="false" customHeight="true" outlineLevel="0" collapsed="false">
      <c r="G92" s="1"/>
      <c r="H92" s="1"/>
      <c r="I92" s="1"/>
      <c r="J92" s="1"/>
      <c r="K92" s="1"/>
      <c r="L92" s="1"/>
      <c r="M92" s="1"/>
      <c r="N92" s="1"/>
      <c r="O92" s="1"/>
      <c r="P92" s="1"/>
      <c r="Q92" s="1"/>
      <c r="R92" s="1"/>
      <c r="S92" s="1"/>
      <c r="T92" s="1"/>
      <c r="U92" s="1"/>
      <c r="V92" s="1"/>
      <c r="W92" s="1"/>
      <c r="X92" s="1"/>
      <c r="Y92" s="1"/>
      <c r="Z92" s="1"/>
    </row>
    <row r="93" customFormat="false" ht="15.75" hidden="false" customHeight="true" outlineLevel="0" collapsed="false">
      <c r="G93" s="1"/>
      <c r="H93" s="1"/>
      <c r="I93" s="1"/>
      <c r="J93" s="1"/>
      <c r="K93" s="1"/>
      <c r="L93" s="1"/>
      <c r="M93" s="1"/>
      <c r="N93" s="1"/>
      <c r="O93" s="1"/>
      <c r="P93" s="1"/>
      <c r="Q93" s="1"/>
      <c r="R93" s="1"/>
      <c r="S93" s="1"/>
      <c r="T93" s="1"/>
      <c r="U93" s="1"/>
      <c r="V93" s="1"/>
      <c r="W93" s="1"/>
      <c r="X93" s="1"/>
      <c r="Y93" s="1"/>
      <c r="Z93" s="1"/>
    </row>
    <row r="94" customFormat="false" ht="15.75" hidden="false" customHeight="true" outlineLevel="0" collapsed="false">
      <c r="G94" s="1"/>
      <c r="H94" s="1"/>
      <c r="I94" s="1"/>
      <c r="J94" s="1"/>
      <c r="K94" s="1"/>
      <c r="L94" s="1"/>
      <c r="M94" s="1"/>
      <c r="N94" s="1"/>
      <c r="O94" s="1"/>
      <c r="P94" s="1"/>
      <c r="Q94" s="1"/>
      <c r="R94" s="1"/>
      <c r="S94" s="1"/>
      <c r="T94" s="1"/>
      <c r="U94" s="1"/>
      <c r="V94" s="1"/>
      <c r="W94" s="1"/>
      <c r="X94" s="1"/>
      <c r="Y94" s="1"/>
      <c r="Z94" s="1"/>
    </row>
    <row r="95" customFormat="false" ht="15.75" hidden="false" customHeight="true" outlineLevel="0" collapsed="false">
      <c r="G95" s="1"/>
      <c r="H95" s="1"/>
      <c r="I95" s="1"/>
      <c r="J95" s="1"/>
      <c r="K95" s="1"/>
      <c r="L95" s="1"/>
      <c r="M95" s="1"/>
      <c r="N95" s="1"/>
      <c r="O95" s="1"/>
      <c r="P95" s="1"/>
      <c r="Q95" s="1"/>
      <c r="R95" s="1"/>
      <c r="S95" s="1"/>
      <c r="T95" s="1"/>
      <c r="U95" s="1"/>
      <c r="V95" s="1"/>
      <c r="W95" s="1"/>
      <c r="X95" s="1"/>
      <c r="Y95" s="1"/>
      <c r="Z95" s="1"/>
    </row>
    <row r="96" customFormat="false" ht="15.75" hidden="false" customHeight="true" outlineLevel="0" collapsed="false">
      <c r="G96" s="1"/>
      <c r="H96" s="1"/>
      <c r="I96" s="1"/>
      <c r="J96" s="1"/>
      <c r="K96" s="1"/>
      <c r="L96" s="1"/>
      <c r="M96" s="1"/>
      <c r="N96" s="1"/>
      <c r="O96" s="1"/>
      <c r="P96" s="1"/>
      <c r="Q96" s="1"/>
      <c r="R96" s="1"/>
      <c r="S96" s="1"/>
      <c r="T96" s="1"/>
      <c r="U96" s="1"/>
      <c r="V96" s="1"/>
      <c r="W96" s="1"/>
      <c r="X96" s="1"/>
      <c r="Y96" s="1"/>
      <c r="Z96" s="1"/>
    </row>
    <row r="97" customFormat="false" ht="15.75" hidden="false" customHeight="true" outlineLevel="0" collapsed="false">
      <c r="G97" s="1"/>
      <c r="H97" s="1"/>
      <c r="I97" s="1"/>
      <c r="J97" s="1"/>
      <c r="K97" s="1"/>
      <c r="L97" s="1"/>
      <c r="M97" s="1"/>
      <c r="N97" s="1"/>
      <c r="O97" s="1"/>
      <c r="P97" s="1"/>
      <c r="Q97" s="1"/>
      <c r="R97" s="1"/>
      <c r="S97" s="1"/>
      <c r="T97" s="1"/>
      <c r="U97" s="1"/>
      <c r="V97" s="1"/>
      <c r="W97" s="1"/>
      <c r="X97" s="1"/>
      <c r="Y97" s="1"/>
      <c r="Z97" s="1"/>
    </row>
    <row r="98" customFormat="false" ht="15.75" hidden="false" customHeight="true" outlineLevel="0" collapsed="false">
      <c r="G98" s="1"/>
      <c r="H98" s="1"/>
      <c r="I98" s="1"/>
      <c r="J98" s="1"/>
      <c r="K98" s="1"/>
      <c r="L98" s="1"/>
      <c r="M98" s="1"/>
      <c r="N98" s="1"/>
      <c r="O98" s="1"/>
      <c r="P98" s="1"/>
      <c r="Q98" s="1"/>
      <c r="R98" s="1"/>
      <c r="S98" s="1"/>
      <c r="T98" s="1"/>
      <c r="U98" s="1"/>
      <c r="V98" s="1"/>
      <c r="W98" s="1"/>
      <c r="X98" s="1"/>
      <c r="Y98" s="1"/>
      <c r="Z98" s="1"/>
    </row>
    <row r="99" customFormat="false" ht="15.75" hidden="false" customHeight="true" outlineLevel="0" collapsed="false">
      <c r="G99" s="1"/>
      <c r="H99" s="1"/>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G100" s="1"/>
      <c r="H100" s="1"/>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G101" s="1"/>
      <c r="H101" s="1"/>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G102" s="1"/>
      <c r="H102" s="1"/>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G103" s="1"/>
      <c r="H103" s="1"/>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G104" s="1"/>
      <c r="H104" s="1"/>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G105" s="1"/>
      <c r="H105" s="1"/>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G106" s="1"/>
      <c r="H106" s="1"/>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G107" s="1"/>
      <c r="H107" s="1"/>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G108" s="1"/>
      <c r="H108" s="1"/>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G109" s="1"/>
      <c r="H109" s="1"/>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G110" s="1"/>
      <c r="H110" s="1"/>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G111" s="1"/>
      <c r="H111" s="1"/>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G112" s="1"/>
      <c r="H112" s="1"/>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G113" s="1"/>
      <c r="H113" s="1"/>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G114" s="1"/>
      <c r="H114" s="1"/>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G115" s="1"/>
      <c r="H115" s="1"/>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G116" s="1"/>
      <c r="H116" s="1"/>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G117" s="1"/>
      <c r="H117" s="1"/>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G118" s="1"/>
      <c r="H118" s="1"/>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G119" s="1"/>
      <c r="H119" s="1"/>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G120" s="1"/>
      <c r="H120" s="1"/>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G121" s="1"/>
      <c r="H121" s="1"/>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G122" s="1"/>
      <c r="H122" s="1"/>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G123" s="1"/>
      <c r="H123" s="1"/>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G124" s="1"/>
      <c r="H124" s="1"/>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G125" s="1"/>
      <c r="H125" s="1"/>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G126" s="1"/>
      <c r="H126" s="1"/>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G127" s="1"/>
      <c r="H127" s="1"/>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G128" s="1"/>
      <c r="H128" s="1"/>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G129" s="1"/>
      <c r="H129" s="1"/>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G130" s="1"/>
      <c r="H130" s="1"/>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G131" s="1"/>
      <c r="H131" s="1"/>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G132" s="1"/>
      <c r="H132" s="1"/>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G133" s="1"/>
      <c r="H133" s="1"/>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G134" s="1"/>
      <c r="H134" s="1"/>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G135" s="1"/>
      <c r="H135" s="1"/>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G136" s="1"/>
      <c r="H136" s="1"/>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G137" s="1"/>
      <c r="H137" s="1"/>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G138" s="1"/>
      <c r="H138" s="1"/>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G139" s="1"/>
      <c r="H139" s="1"/>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G140" s="1"/>
      <c r="H140" s="1"/>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G141" s="1"/>
      <c r="H141" s="1"/>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G142" s="1"/>
      <c r="H142" s="1"/>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G143" s="1"/>
      <c r="H143" s="1"/>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G144" s="1"/>
      <c r="H144" s="1"/>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G145" s="1"/>
      <c r="H145" s="1"/>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G146" s="1"/>
      <c r="H146" s="1"/>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G147" s="1"/>
      <c r="H147" s="1"/>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G148" s="1"/>
      <c r="H148" s="1"/>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G149" s="1"/>
      <c r="H149" s="1"/>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G150" s="1"/>
      <c r="H150" s="1"/>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G151" s="1"/>
      <c r="H151" s="1"/>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G152" s="1"/>
      <c r="H152" s="1"/>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G153" s="1"/>
      <c r="H153" s="1"/>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G154" s="1"/>
      <c r="H154" s="1"/>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G155" s="1"/>
      <c r="H155" s="1"/>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G156" s="1"/>
      <c r="H156" s="1"/>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G157" s="1"/>
      <c r="H157" s="1"/>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G158" s="1"/>
      <c r="H158" s="1"/>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G159" s="1"/>
      <c r="H159" s="1"/>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G160" s="1"/>
      <c r="H160" s="1"/>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G161" s="1"/>
      <c r="H161" s="1"/>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G162" s="1"/>
      <c r="H162" s="1"/>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G163" s="1"/>
      <c r="H163" s="1"/>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G164" s="1"/>
      <c r="H164" s="1"/>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G165" s="1"/>
      <c r="H165" s="1"/>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G166" s="1"/>
      <c r="H166" s="1"/>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G167" s="1"/>
      <c r="H167" s="1"/>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G168" s="1"/>
      <c r="H168" s="1"/>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G169" s="1"/>
      <c r="H169" s="1"/>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G170" s="1"/>
      <c r="H170" s="1"/>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G171" s="1"/>
      <c r="H171" s="1"/>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G172" s="1"/>
      <c r="H172" s="1"/>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G173" s="1"/>
      <c r="H173" s="1"/>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G174" s="1"/>
      <c r="H174" s="1"/>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G175" s="1"/>
      <c r="H175" s="1"/>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G176" s="1"/>
      <c r="H176" s="1"/>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G177" s="1"/>
      <c r="H177" s="1"/>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G178" s="1"/>
      <c r="H178" s="1"/>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G179" s="1"/>
      <c r="H179" s="1"/>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G180" s="1"/>
      <c r="H180" s="1"/>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G181" s="1"/>
      <c r="H181" s="1"/>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G182" s="1"/>
      <c r="H182" s="1"/>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G183" s="1"/>
      <c r="H183" s="1"/>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G184" s="1"/>
      <c r="H184" s="1"/>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G185" s="1"/>
      <c r="H185" s="1"/>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G186" s="1"/>
      <c r="H186" s="1"/>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G187" s="1"/>
      <c r="H187" s="1"/>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G188" s="1"/>
      <c r="H188" s="1"/>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G189" s="1"/>
      <c r="H189" s="1"/>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G190" s="1"/>
      <c r="H190" s="1"/>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G191" s="1"/>
      <c r="H191" s="1"/>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G192" s="1"/>
      <c r="H192" s="1"/>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G193" s="1"/>
      <c r="H193" s="1"/>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G194" s="1"/>
      <c r="H194" s="1"/>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G195" s="1"/>
      <c r="H195" s="1"/>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G196" s="1"/>
      <c r="H196" s="1"/>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G197" s="1"/>
      <c r="H197" s="1"/>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G198" s="1"/>
      <c r="H198" s="1"/>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G199" s="1"/>
      <c r="H199" s="1"/>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G200" s="1"/>
      <c r="H200" s="1"/>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G201" s="1"/>
      <c r="H201" s="1"/>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G202" s="1"/>
      <c r="H202" s="1"/>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G203" s="1"/>
      <c r="H203" s="1"/>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G204" s="1"/>
      <c r="H204" s="1"/>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G205" s="1"/>
      <c r="H205" s="1"/>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G206" s="1"/>
      <c r="H206" s="1"/>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G207" s="1"/>
      <c r="H207" s="1"/>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G208" s="1"/>
      <c r="H208" s="1"/>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G209" s="1"/>
      <c r="H209" s="1"/>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G210" s="1"/>
      <c r="H210" s="1"/>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G211" s="1"/>
      <c r="H211" s="1"/>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G212" s="1"/>
      <c r="H212" s="1"/>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G213" s="1"/>
      <c r="H213" s="1"/>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G214" s="1"/>
      <c r="H214" s="1"/>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G215" s="1"/>
      <c r="H215" s="1"/>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G216" s="1"/>
      <c r="H216" s="1"/>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G217" s="1"/>
      <c r="H217" s="1"/>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G218" s="1"/>
      <c r="H218" s="1"/>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G219" s="1"/>
      <c r="H219" s="1"/>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G220" s="1"/>
      <c r="H220" s="1"/>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G221" s="1"/>
      <c r="H221" s="1"/>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G222" s="1"/>
      <c r="H222" s="1"/>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G223" s="1"/>
      <c r="H223" s="1"/>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G224" s="1"/>
      <c r="H224" s="1"/>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G225" s="1"/>
      <c r="H225" s="1"/>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G226" s="1"/>
      <c r="H226" s="1"/>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G227" s="1"/>
      <c r="H227" s="1"/>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G228" s="1"/>
      <c r="H228" s="1"/>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G229" s="1"/>
      <c r="H229" s="1"/>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G230" s="1"/>
      <c r="H230" s="1"/>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G231" s="1"/>
      <c r="H231" s="1"/>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G232" s="1"/>
      <c r="H232" s="1"/>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G233" s="1"/>
      <c r="H233" s="1"/>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G234" s="1"/>
      <c r="H234" s="1"/>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G235" s="1"/>
      <c r="H235" s="1"/>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G236" s="1"/>
      <c r="H236" s="1"/>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G237" s="1"/>
      <c r="H237" s="1"/>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G238" s="1"/>
      <c r="H238" s="1"/>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G239" s="1"/>
      <c r="H239" s="1"/>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G240" s="1"/>
      <c r="H240" s="1"/>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G241" s="1"/>
      <c r="H241" s="1"/>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G242" s="1"/>
      <c r="H242" s="1"/>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G243" s="1"/>
      <c r="H243" s="1"/>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G244" s="1"/>
      <c r="H244" s="1"/>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G245" s="1"/>
      <c r="H245" s="1"/>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G246" s="1"/>
      <c r="H246" s="1"/>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G247" s="1"/>
      <c r="H247" s="1"/>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G248" s="1"/>
      <c r="H248" s="1"/>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G249" s="1"/>
      <c r="H249" s="1"/>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G250" s="1"/>
      <c r="H250" s="1"/>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G251" s="1"/>
      <c r="H251" s="1"/>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G252" s="1"/>
      <c r="H252" s="1"/>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G253" s="1"/>
      <c r="H253" s="1"/>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G254" s="1"/>
      <c r="H254" s="1"/>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G255" s="1"/>
      <c r="H255" s="1"/>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G256" s="1"/>
      <c r="H256" s="1"/>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G257" s="1"/>
      <c r="H257" s="1"/>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G258" s="1"/>
      <c r="H258" s="1"/>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G259" s="1"/>
      <c r="H259" s="1"/>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G260" s="1"/>
      <c r="H260" s="1"/>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G261" s="1"/>
      <c r="H261" s="1"/>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G262" s="1"/>
      <c r="H262" s="1"/>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G263" s="1"/>
      <c r="H263" s="1"/>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G264" s="1"/>
      <c r="H264" s="1"/>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G265" s="1"/>
      <c r="H265" s="1"/>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G266" s="1"/>
      <c r="H266" s="1"/>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G267" s="1"/>
      <c r="H267" s="1"/>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G268" s="1"/>
      <c r="H268" s="1"/>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G269" s="1"/>
      <c r="H269" s="1"/>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G270" s="1"/>
      <c r="H270" s="1"/>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G271" s="1"/>
      <c r="H271" s="1"/>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G272" s="1"/>
      <c r="H272" s="1"/>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G273" s="1"/>
      <c r="H273" s="1"/>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G274" s="1"/>
      <c r="H274" s="1"/>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G275" s="1"/>
      <c r="H275" s="1"/>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G276" s="1"/>
      <c r="H276" s="1"/>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G277" s="1"/>
      <c r="H277" s="1"/>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G278" s="1"/>
      <c r="H278" s="1"/>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G279" s="1"/>
      <c r="H279" s="1"/>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G280" s="1"/>
      <c r="H280" s="1"/>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G281" s="1"/>
      <c r="H281" s="1"/>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G282" s="1"/>
      <c r="H282" s="1"/>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G283" s="1"/>
      <c r="H283" s="1"/>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G284" s="1"/>
      <c r="H284" s="1"/>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G285" s="1"/>
      <c r="H285" s="1"/>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G286" s="1"/>
      <c r="H286" s="1"/>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G287" s="1"/>
      <c r="H287" s="1"/>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G288" s="1"/>
      <c r="H288" s="1"/>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G289" s="1"/>
      <c r="H289" s="1"/>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G290" s="1"/>
      <c r="H290" s="1"/>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G291" s="1"/>
      <c r="H291" s="1"/>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G292" s="1"/>
      <c r="H292" s="1"/>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G293" s="1"/>
      <c r="H293" s="1"/>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G294" s="1"/>
      <c r="H294" s="1"/>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G295" s="1"/>
      <c r="H295" s="1"/>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G296" s="1"/>
      <c r="H296" s="1"/>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G297" s="1"/>
      <c r="H297" s="1"/>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G298" s="1"/>
      <c r="H298" s="1"/>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G299" s="1"/>
      <c r="H299" s="1"/>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G300" s="1"/>
      <c r="H300" s="1"/>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G301" s="1"/>
      <c r="H301" s="1"/>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G302" s="1"/>
      <c r="H302" s="1"/>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G303" s="1"/>
      <c r="H303" s="1"/>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G304" s="1"/>
      <c r="H304" s="1"/>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G305" s="1"/>
      <c r="H305" s="1"/>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G306" s="1"/>
      <c r="H306" s="1"/>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G307" s="1"/>
      <c r="H307" s="1"/>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G308" s="1"/>
      <c r="H308" s="1"/>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G309" s="1"/>
      <c r="H309" s="1"/>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G310" s="1"/>
      <c r="H310" s="1"/>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G311" s="1"/>
      <c r="H311" s="1"/>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G312" s="1"/>
      <c r="H312" s="1"/>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G313" s="1"/>
      <c r="H313" s="1"/>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G314" s="1"/>
      <c r="H314" s="1"/>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G315" s="1"/>
      <c r="H315" s="1"/>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G316" s="1"/>
      <c r="H316" s="1"/>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G317" s="1"/>
      <c r="H317" s="1"/>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G318" s="1"/>
      <c r="H318" s="1"/>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G319" s="1"/>
      <c r="H319" s="1"/>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G320" s="1"/>
      <c r="H320" s="1"/>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G321" s="1"/>
      <c r="H321" s="1"/>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G322" s="1"/>
      <c r="H322" s="1"/>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G323" s="1"/>
      <c r="H323" s="1"/>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G324" s="1"/>
      <c r="H324" s="1"/>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G325" s="1"/>
      <c r="H325" s="1"/>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G326" s="1"/>
      <c r="H326" s="1"/>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G327" s="1"/>
      <c r="H327" s="1"/>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G328" s="1"/>
      <c r="H328" s="1"/>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G329" s="1"/>
      <c r="H329" s="1"/>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G330" s="1"/>
      <c r="H330" s="1"/>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G331" s="1"/>
      <c r="H331" s="1"/>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G332" s="1"/>
      <c r="H332" s="1"/>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G333" s="1"/>
      <c r="H333" s="1"/>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G334" s="1"/>
      <c r="H334" s="1"/>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G335" s="1"/>
      <c r="H335" s="1"/>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G336" s="1"/>
      <c r="H336" s="1"/>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G337" s="1"/>
      <c r="H337" s="1"/>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G338" s="1"/>
      <c r="H338" s="1"/>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G339" s="1"/>
      <c r="H339" s="1"/>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G340" s="1"/>
      <c r="H340" s="1"/>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G341" s="1"/>
      <c r="H341" s="1"/>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G342" s="1"/>
      <c r="H342" s="1"/>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G343" s="1"/>
      <c r="H343" s="1"/>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G344" s="1"/>
      <c r="H344" s="1"/>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G345" s="1"/>
      <c r="H345" s="1"/>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G346" s="1"/>
      <c r="H346" s="1"/>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G347" s="1"/>
      <c r="H347" s="1"/>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G348" s="1"/>
      <c r="H348" s="1"/>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G349" s="1"/>
      <c r="H349" s="1"/>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G350" s="1"/>
      <c r="H350" s="1"/>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G351" s="1"/>
      <c r="H351" s="1"/>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G352" s="1"/>
      <c r="H352" s="1"/>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G353" s="1"/>
      <c r="H353" s="1"/>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G354" s="1"/>
      <c r="H354" s="1"/>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G355" s="1"/>
      <c r="H355" s="1"/>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G356" s="1"/>
      <c r="H356" s="1"/>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G357" s="1"/>
      <c r="H357" s="1"/>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G358" s="1"/>
      <c r="H358" s="1"/>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G359" s="1"/>
      <c r="H359" s="1"/>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G360" s="1"/>
      <c r="H360" s="1"/>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G361" s="1"/>
      <c r="H361" s="1"/>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G362" s="1"/>
      <c r="H362" s="1"/>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G363" s="1"/>
      <c r="H363" s="1"/>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G364" s="1"/>
      <c r="H364" s="1"/>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G365" s="1"/>
      <c r="H365" s="1"/>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G366" s="1"/>
      <c r="H366" s="1"/>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G367" s="1"/>
      <c r="H367" s="1"/>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G368" s="1"/>
      <c r="H368" s="1"/>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G369" s="1"/>
      <c r="H369" s="1"/>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G370" s="1"/>
      <c r="H370" s="1"/>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G371" s="1"/>
      <c r="H371" s="1"/>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G372" s="1"/>
      <c r="H372" s="1"/>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G373" s="1"/>
      <c r="H373" s="1"/>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G374" s="1"/>
      <c r="H374" s="1"/>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G375" s="1"/>
      <c r="H375" s="1"/>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G376" s="1"/>
      <c r="H376" s="1"/>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G377" s="1"/>
      <c r="H377" s="1"/>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G378" s="1"/>
      <c r="H378" s="1"/>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G379" s="1"/>
      <c r="H379" s="1"/>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G380" s="1"/>
      <c r="H380" s="1"/>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G381" s="1"/>
      <c r="H381" s="1"/>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G382" s="1"/>
      <c r="H382" s="1"/>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G383" s="1"/>
      <c r="H383" s="1"/>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G384" s="1"/>
      <c r="H384" s="1"/>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G385" s="1"/>
      <c r="H385" s="1"/>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G386" s="1"/>
      <c r="H386" s="1"/>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G387" s="1"/>
      <c r="H387" s="1"/>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G388" s="1"/>
      <c r="H388" s="1"/>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G389" s="1"/>
      <c r="H389" s="1"/>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G390" s="1"/>
      <c r="H390" s="1"/>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G391" s="1"/>
      <c r="H391" s="1"/>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G392" s="1"/>
      <c r="H392" s="1"/>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G393" s="1"/>
      <c r="H393" s="1"/>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G394" s="1"/>
      <c r="H394" s="1"/>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G395" s="1"/>
      <c r="H395" s="1"/>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G396" s="1"/>
      <c r="H396" s="1"/>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G397" s="1"/>
      <c r="H397" s="1"/>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G398" s="1"/>
      <c r="H398" s="1"/>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G399" s="1"/>
      <c r="H399" s="1"/>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G400" s="1"/>
      <c r="H400" s="1"/>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G401" s="1"/>
      <c r="H401" s="1"/>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G402" s="1"/>
      <c r="H402" s="1"/>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G403" s="1"/>
      <c r="H403" s="1"/>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G404" s="1"/>
      <c r="H404" s="1"/>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G405" s="1"/>
      <c r="H405" s="1"/>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G406" s="1"/>
      <c r="H406" s="1"/>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G407" s="1"/>
      <c r="H407" s="1"/>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G408" s="1"/>
      <c r="H408" s="1"/>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G409" s="1"/>
      <c r="H409" s="1"/>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G410" s="1"/>
      <c r="H410" s="1"/>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G411" s="1"/>
      <c r="H411" s="1"/>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G412" s="1"/>
      <c r="H412" s="1"/>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G413" s="1"/>
      <c r="H413" s="1"/>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G414" s="1"/>
      <c r="H414" s="1"/>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G415" s="1"/>
      <c r="H415" s="1"/>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G416" s="1"/>
      <c r="H416" s="1"/>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G417" s="1"/>
      <c r="H417" s="1"/>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G418" s="1"/>
      <c r="H418" s="1"/>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G419" s="1"/>
      <c r="H419" s="1"/>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G420" s="1"/>
      <c r="H420" s="1"/>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G421" s="1"/>
      <c r="H421" s="1"/>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G422" s="1"/>
      <c r="H422" s="1"/>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G423" s="1"/>
      <c r="H423" s="1"/>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G424" s="1"/>
      <c r="H424" s="1"/>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G425" s="1"/>
      <c r="H425" s="1"/>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G426" s="1"/>
      <c r="H426" s="1"/>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G427" s="1"/>
      <c r="H427" s="1"/>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G428" s="1"/>
      <c r="H428" s="1"/>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G429" s="1"/>
      <c r="H429" s="1"/>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G430" s="1"/>
      <c r="H430" s="1"/>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G431" s="1"/>
      <c r="H431" s="1"/>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G432" s="1"/>
      <c r="H432" s="1"/>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G433" s="1"/>
      <c r="H433" s="1"/>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G434" s="1"/>
      <c r="H434" s="1"/>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G435" s="1"/>
      <c r="H435" s="1"/>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G436" s="1"/>
      <c r="H436" s="1"/>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G437" s="1"/>
      <c r="H437" s="1"/>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G438" s="1"/>
      <c r="H438" s="1"/>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G439" s="1"/>
      <c r="H439" s="1"/>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G440" s="1"/>
      <c r="H440" s="1"/>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G441" s="1"/>
      <c r="H441" s="1"/>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G442" s="1"/>
      <c r="H442" s="1"/>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G443" s="1"/>
      <c r="H443" s="1"/>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G444" s="1"/>
      <c r="H444" s="1"/>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G445" s="1"/>
      <c r="H445" s="1"/>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G446" s="1"/>
      <c r="H446" s="1"/>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G447" s="1"/>
      <c r="H447" s="1"/>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G448" s="1"/>
      <c r="H448" s="1"/>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G449" s="1"/>
      <c r="H449" s="1"/>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G450" s="1"/>
      <c r="H450" s="1"/>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G451" s="1"/>
      <c r="H451" s="1"/>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G452" s="1"/>
      <c r="H452" s="1"/>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G453" s="1"/>
      <c r="H453" s="1"/>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G454" s="1"/>
      <c r="H454" s="1"/>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G455" s="1"/>
      <c r="H455" s="1"/>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G456" s="1"/>
      <c r="H456" s="1"/>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G457" s="1"/>
      <c r="H457" s="1"/>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G458" s="1"/>
      <c r="H458" s="1"/>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G459" s="1"/>
      <c r="H459" s="1"/>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G460" s="1"/>
      <c r="H460" s="1"/>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G461" s="1"/>
      <c r="H461" s="1"/>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G462" s="1"/>
      <c r="H462" s="1"/>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G463" s="1"/>
      <c r="H463" s="1"/>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G464" s="1"/>
      <c r="H464" s="1"/>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G465" s="1"/>
      <c r="H465" s="1"/>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G466" s="1"/>
      <c r="H466" s="1"/>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G467" s="1"/>
      <c r="H467" s="1"/>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G468" s="1"/>
      <c r="H468" s="1"/>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G469" s="1"/>
      <c r="H469" s="1"/>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G470" s="1"/>
      <c r="H470" s="1"/>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G471" s="1"/>
      <c r="H471" s="1"/>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G472" s="1"/>
      <c r="H472" s="1"/>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G473" s="1"/>
      <c r="H473" s="1"/>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G474" s="1"/>
      <c r="H474" s="1"/>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G475" s="1"/>
      <c r="H475" s="1"/>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G476" s="1"/>
      <c r="H476" s="1"/>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G477" s="1"/>
      <c r="H477" s="1"/>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G478" s="1"/>
      <c r="H478" s="1"/>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G479" s="1"/>
      <c r="H479" s="1"/>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G480" s="1"/>
      <c r="H480" s="1"/>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G481" s="1"/>
      <c r="H481" s="1"/>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G482" s="1"/>
      <c r="H482" s="1"/>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G483" s="1"/>
      <c r="H483" s="1"/>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G484" s="1"/>
      <c r="H484" s="1"/>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G485" s="1"/>
      <c r="H485" s="1"/>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G486" s="1"/>
      <c r="H486" s="1"/>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G487" s="1"/>
      <c r="H487" s="1"/>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G488" s="1"/>
      <c r="H488" s="1"/>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G489" s="1"/>
      <c r="H489" s="1"/>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G490" s="1"/>
      <c r="H490" s="1"/>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G491" s="1"/>
      <c r="H491" s="1"/>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G492" s="1"/>
      <c r="H492" s="1"/>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G493" s="1"/>
      <c r="H493" s="1"/>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G494" s="1"/>
      <c r="H494" s="1"/>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G495" s="1"/>
      <c r="H495" s="1"/>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G496" s="1"/>
      <c r="H496" s="1"/>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G497" s="1"/>
      <c r="H497" s="1"/>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G498" s="1"/>
      <c r="H498" s="1"/>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G499" s="1"/>
      <c r="H499" s="1"/>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G500" s="1"/>
      <c r="H500" s="1"/>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G501" s="1"/>
      <c r="H501" s="1"/>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G502" s="1"/>
      <c r="H502" s="1"/>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G503" s="1"/>
      <c r="H503" s="1"/>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G504" s="1"/>
      <c r="H504" s="1"/>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G505" s="1"/>
      <c r="H505" s="1"/>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G506" s="1"/>
      <c r="H506" s="1"/>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G507" s="1"/>
      <c r="H507" s="1"/>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G508" s="1"/>
      <c r="H508" s="1"/>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G509" s="1"/>
      <c r="H509" s="1"/>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G510" s="1"/>
      <c r="H510" s="1"/>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G511" s="1"/>
      <c r="H511" s="1"/>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G512" s="1"/>
      <c r="H512" s="1"/>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G513" s="1"/>
      <c r="H513" s="1"/>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G514" s="1"/>
      <c r="H514" s="1"/>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G515" s="1"/>
      <c r="H515" s="1"/>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G516" s="1"/>
      <c r="H516" s="1"/>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G517" s="1"/>
      <c r="H517" s="1"/>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G518" s="1"/>
      <c r="H518" s="1"/>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G519" s="1"/>
      <c r="H519" s="1"/>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G520" s="1"/>
      <c r="H520" s="1"/>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G521" s="1"/>
      <c r="H521" s="1"/>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G522" s="1"/>
      <c r="H522" s="1"/>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G523" s="1"/>
      <c r="H523" s="1"/>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G524" s="1"/>
      <c r="H524" s="1"/>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G525" s="1"/>
      <c r="H525" s="1"/>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G526" s="1"/>
      <c r="H526" s="1"/>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G527" s="1"/>
      <c r="H527" s="1"/>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G528" s="1"/>
      <c r="H528" s="1"/>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G529" s="1"/>
      <c r="H529" s="1"/>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G530" s="1"/>
      <c r="H530" s="1"/>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G531" s="1"/>
      <c r="H531" s="1"/>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G532" s="1"/>
      <c r="H532" s="1"/>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G533" s="1"/>
      <c r="H533" s="1"/>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G534" s="1"/>
      <c r="H534" s="1"/>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G535" s="1"/>
      <c r="H535" s="1"/>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G536" s="1"/>
      <c r="H536" s="1"/>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G537" s="1"/>
      <c r="H537" s="1"/>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G538" s="1"/>
      <c r="H538" s="1"/>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G539" s="1"/>
      <c r="H539" s="1"/>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G540" s="1"/>
      <c r="H540" s="1"/>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G541" s="1"/>
      <c r="H541" s="1"/>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G542" s="1"/>
      <c r="H542" s="1"/>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G543" s="1"/>
      <c r="H543" s="1"/>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G544" s="1"/>
      <c r="H544" s="1"/>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G545" s="1"/>
      <c r="H545" s="1"/>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G546" s="1"/>
      <c r="H546" s="1"/>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G547" s="1"/>
      <c r="H547" s="1"/>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G548" s="1"/>
      <c r="H548" s="1"/>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G549" s="1"/>
      <c r="H549" s="1"/>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G550" s="1"/>
      <c r="H550" s="1"/>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G551" s="1"/>
      <c r="H551" s="1"/>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G552" s="1"/>
      <c r="H552" s="1"/>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G553" s="1"/>
      <c r="H553" s="1"/>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G554" s="1"/>
      <c r="H554" s="1"/>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G555" s="1"/>
      <c r="H555" s="1"/>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G556" s="1"/>
      <c r="H556" s="1"/>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G557" s="1"/>
      <c r="H557" s="1"/>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G558" s="1"/>
      <c r="H558" s="1"/>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G559" s="1"/>
      <c r="H559" s="1"/>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G560" s="1"/>
      <c r="H560" s="1"/>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G561" s="1"/>
      <c r="H561" s="1"/>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G562" s="1"/>
      <c r="H562" s="1"/>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G563" s="1"/>
      <c r="H563" s="1"/>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G564" s="1"/>
      <c r="H564" s="1"/>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G565" s="1"/>
      <c r="H565" s="1"/>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G566" s="1"/>
      <c r="H566" s="1"/>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G567" s="1"/>
      <c r="H567" s="1"/>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G568" s="1"/>
      <c r="H568" s="1"/>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G569" s="1"/>
      <c r="H569" s="1"/>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G570" s="1"/>
      <c r="H570" s="1"/>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G571" s="1"/>
      <c r="H571" s="1"/>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G572" s="1"/>
      <c r="H572" s="1"/>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G573" s="1"/>
      <c r="H573" s="1"/>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G574" s="1"/>
      <c r="H574" s="1"/>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G575" s="1"/>
      <c r="H575" s="1"/>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G576" s="1"/>
      <c r="H576" s="1"/>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G577" s="1"/>
      <c r="H577" s="1"/>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G578" s="1"/>
      <c r="H578" s="1"/>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G579" s="1"/>
      <c r="H579" s="1"/>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G580" s="1"/>
      <c r="H580" s="1"/>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G581" s="1"/>
      <c r="H581" s="1"/>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G582" s="1"/>
      <c r="H582" s="1"/>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G583" s="1"/>
      <c r="H583" s="1"/>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G584" s="1"/>
      <c r="H584" s="1"/>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G585" s="1"/>
      <c r="H585" s="1"/>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G586" s="1"/>
      <c r="H586" s="1"/>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G587" s="1"/>
      <c r="H587" s="1"/>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G588" s="1"/>
      <c r="H588" s="1"/>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G589" s="1"/>
      <c r="H589" s="1"/>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G590" s="1"/>
      <c r="H590" s="1"/>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G591" s="1"/>
      <c r="H591" s="1"/>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G592" s="1"/>
      <c r="H592" s="1"/>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G593" s="1"/>
      <c r="H593" s="1"/>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G594" s="1"/>
      <c r="H594" s="1"/>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G595" s="1"/>
      <c r="H595" s="1"/>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G596" s="1"/>
      <c r="H596" s="1"/>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G597" s="1"/>
      <c r="H597" s="1"/>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G598" s="1"/>
      <c r="H598" s="1"/>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G599" s="1"/>
      <c r="H599" s="1"/>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G600" s="1"/>
      <c r="H600" s="1"/>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G601" s="1"/>
      <c r="H601" s="1"/>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G602" s="1"/>
      <c r="H602" s="1"/>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G603" s="1"/>
      <c r="H603" s="1"/>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G604" s="1"/>
      <c r="H604" s="1"/>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G605" s="1"/>
      <c r="H605" s="1"/>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G606" s="1"/>
      <c r="H606" s="1"/>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G607" s="1"/>
      <c r="H607" s="1"/>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G608" s="1"/>
      <c r="H608" s="1"/>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G609" s="1"/>
      <c r="H609" s="1"/>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G610" s="1"/>
      <c r="H610" s="1"/>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G611" s="1"/>
      <c r="H611" s="1"/>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G612" s="1"/>
      <c r="H612" s="1"/>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G613" s="1"/>
      <c r="H613" s="1"/>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G614" s="1"/>
      <c r="H614" s="1"/>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G615" s="1"/>
      <c r="H615" s="1"/>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G616" s="1"/>
      <c r="H616" s="1"/>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G617" s="1"/>
      <c r="H617" s="1"/>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G618" s="1"/>
      <c r="H618" s="1"/>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G619" s="1"/>
      <c r="H619" s="1"/>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G620" s="1"/>
      <c r="H620" s="1"/>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G621" s="1"/>
      <c r="H621" s="1"/>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G622" s="1"/>
      <c r="H622" s="1"/>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G623" s="1"/>
      <c r="H623" s="1"/>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G624" s="1"/>
      <c r="H624" s="1"/>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G625" s="1"/>
      <c r="H625" s="1"/>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G626" s="1"/>
      <c r="H626" s="1"/>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G627" s="1"/>
      <c r="H627" s="1"/>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G628" s="1"/>
      <c r="H628" s="1"/>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G629" s="1"/>
      <c r="H629" s="1"/>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G630" s="1"/>
      <c r="H630" s="1"/>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G631" s="1"/>
      <c r="H631" s="1"/>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G632" s="1"/>
      <c r="H632" s="1"/>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G633" s="1"/>
      <c r="H633" s="1"/>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G634" s="1"/>
      <c r="H634" s="1"/>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G635" s="1"/>
      <c r="H635" s="1"/>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G636" s="1"/>
      <c r="H636" s="1"/>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G637" s="1"/>
      <c r="H637" s="1"/>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G638" s="1"/>
      <c r="H638" s="1"/>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G639" s="1"/>
      <c r="H639" s="1"/>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G640" s="1"/>
      <c r="H640" s="1"/>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G641" s="1"/>
      <c r="H641" s="1"/>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G642" s="1"/>
      <c r="H642" s="1"/>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G643" s="1"/>
      <c r="H643" s="1"/>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G644" s="1"/>
      <c r="H644" s="1"/>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G645" s="1"/>
      <c r="H645" s="1"/>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G646" s="1"/>
      <c r="H646" s="1"/>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G647" s="1"/>
      <c r="H647" s="1"/>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G648" s="1"/>
      <c r="H648" s="1"/>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G649" s="1"/>
      <c r="H649" s="1"/>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G650" s="1"/>
      <c r="H650" s="1"/>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G651" s="1"/>
      <c r="H651" s="1"/>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G652" s="1"/>
      <c r="H652" s="1"/>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G653" s="1"/>
      <c r="H653" s="1"/>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G654" s="1"/>
      <c r="H654" s="1"/>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G655" s="1"/>
      <c r="H655" s="1"/>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G656" s="1"/>
      <c r="H656" s="1"/>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G657" s="1"/>
      <c r="H657" s="1"/>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G658" s="1"/>
      <c r="H658" s="1"/>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G659" s="1"/>
      <c r="H659" s="1"/>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G660" s="1"/>
      <c r="H660" s="1"/>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G661" s="1"/>
      <c r="H661" s="1"/>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G662" s="1"/>
      <c r="H662" s="1"/>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G663" s="1"/>
      <c r="H663" s="1"/>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G664" s="1"/>
      <c r="H664" s="1"/>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G665" s="1"/>
      <c r="H665" s="1"/>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G666" s="1"/>
      <c r="H666" s="1"/>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G667" s="1"/>
      <c r="H667" s="1"/>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G668" s="1"/>
      <c r="H668" s="1"/>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G669" s="1"/>
      <c r="H669" s="1"/>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G670" s="1"/>
      <c r="H670" s="1"/>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G671" s="1"/>
      <c r="H671" s="1"/>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G672" s="1"/>
      <c r="H672" s="1"/>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G673" s="1"/>
      <c r="H673" s="1"/>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G674" s="1"/>
      <c r="H674" s="1"/>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G675" s="1"/>
      <c r="H675" s="1"/>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G676" s="1"/>
      <c r="H676" s="1"/>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G677" s="1"/>
      <c r="H677" s="1"/>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G678" s="1"/>
      <c r="H678" s="1"/>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G679" s="1"/>
      <c r="H679" s="1"/>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G680" s="1"/>
      <c r="H680" s="1"/>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G681" s="1"/>
      <c r="H681" s="1"/>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G682" s="1"/>
      <c r="H682" s="1"/>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G683" s="1"/>
      <c r="H683" s="1"/>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G684" s="1"/>
      <c r="H684" s="1"/>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G685" s="1"/>
      <c r="H685" s="1"/>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G686" s="1"/>
      <c r="H686" s="1"/>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G687" s="1"/>
      <c r="H687" s="1"/>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G688" s="1"/>
      <c r="H688" s="1"/>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G689" s="1"/>
      <c r="H689" s="1"/>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G690" s="1"/>
      <c r="H690" s="1"/>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G691" s="1"/>
      <c r="H691" s="1"/>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G692" s="1"/>
      <c r="H692" s="1"/>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G693" s="1"/>
      <c r="H693" s="1"/>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G694" s="1"/>
      <c r="H694" s="1"/>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G695" s="1"/>
      <c r="H695" s="1"/>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G696" s="1"/>
      <c r="H696" s="1"/>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G697" s="1"/>
      <c r="H697" s="1"/>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G698" s="1"/>
      <c r="H698" s="1"/>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G699" s="1"/>
      <c r="H699" s="1"/>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G700" s="1"/>
      <c r="H700" s="1"/>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G701" s="1"/>
      <c r="H701" s="1"/>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G702" s="1"/>
      <c r="H702" s="1"/>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G703" s="1"/>
      <c r="H703" s="1"/>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G704" s="1"/>
      <c r="H704" s="1"/>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G705" s="1"/>
      <c r="H705" s="1"/>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G706" s="1"/>
      <c r="H706" s="1"/>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G707" s="1"/>
      <c r="H707" s="1"/>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G708" s="1"/>
      <c r="H708" s="1"/>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G709" s="1"/>
      <c r="H709" s="1"/>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G710" s="1"/>
      <c r="H710" s="1"/>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G711" s="1"/>
      <c r="H711" s="1"/>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G712" s="1"/>
      <c r="H712" s="1"/>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G713" s="1"/>
      <c r="H713" s="1"/>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G714" s="1"/>
      <c r="H714" s="1"/>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G715" s="1"/>
      <c r="H715" s="1"/>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G716" s="1"/>
      <c r="H716" s="1"/>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G717" s="1"/>
      <c r="H717" s="1"/>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G718" s="1"/>
      <c r="H718" s="1"/>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G719" s="1"/>
      <c r="H719" s="1"/>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G720" s="1"/>
      <c r="H720" s="1"/>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G721" s="1"/>
      <c r="H721" s="1"/>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G722" s="1"/>
      <c r="H722" s="1"/>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G723" s="1"/>
      <c r="H723" s="1"/>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G724" s="1"/>
      <c r="H724" s="1"/>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G725" s="1"/>
      <c r="H725" s="1"/>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G726" s="1"/>
      <c r="H726" s="1"/>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G727" s="1"/>
      <c r="H727" s="1"/>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G728" s="1"/>
      <c r="H728" s="1"/>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G729" s="1"/>
      <c r="H729" s="1"/>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G730" s="1"/>
      <c r="H730" s="1"/>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G731" s="1"/>
      <c r="H731" s="1"/>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G732" s="1"/>
      <c r="H732" s="1"/>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G733" s="1"/>
      <c r="H733" s="1"/>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G734" s="1"/>
      <c r="H734" s="1"/>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G735" s="1"/>
      <c r="H735" s="1"/>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G736" s="1"/>
      <c r="H736" s="1"/>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G737" s="1"/>
      <c r="H737" s="1"/>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G738" s="1"/>
      <c r="H738" s="1"/>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G739" s="1"/>
      <c r="H739" s="1"/>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G740" s="1"/>
      <c r="H740" s="1"/>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G741" s="1"/>
      <c r="H741" s="1"/>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G742" s="1"/>
      <c r="H742" s="1"/>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G743" s="1"/>
      <c r="H743" s="1"/>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G744" s="1"/>
      <c r="H744" s="1"/>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G745" s="1"/>
      <c r="H745" s="1"/>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G746" s="1"/>
      <c r="H746" s="1"/>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G747" s="1"/>
      <c r="H747" s="1"/>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G748" s="1"/>
      <c r="H748" s="1"/>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G749" s="1"/>
      <c r="H749" s="1"/>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G750" s="1"/>
      <c r="H750" s="1"/>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G751" s="1"/>
      <c r="H751" s="1"/>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G752" s="1"/>
      <c r="H752" s="1"/>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G753" s="1"/>
      <c r="H753" s="1"/>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G754" s="1"/>
      <c r="H754" s="1"/>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G755" s="1"/>
      <c r="H755" s="1"/>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G756" s="1"/>
      <c r="H756" s="1"/>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G757" s="1"/>
      <c r="H757" s="1"/>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G758" s="1"/>
      <c r="H758" s="1"/>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G759" s="1"/>
      <c r="H759" s="1"/>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G760" s="1"/>
      <c r="H760" s="1"/>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G761" s="1"/>
      <c r="H761" s="1"/>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G762" s="1"/>
      <c r="H762" s="1"/>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G763" s="1"/>
      <c r="H763" s="1"/>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G764" s="1"/>
      <c r="H764" s="1"/>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G765" s="1"/>
      <c r="H765" s="1"/>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G766" s="1"/>
      <c r="H766" s="1"/>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G767" s="1"/>
      <c r="H767" s="1"/>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G768" s="1"/>
      <c r="H768" s="1"/>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G769" s="1"/>
      <c r="H769" s="1"/>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G770" s="1"/>
      <c r="H770" s="1"/>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G771" s="1"/>
      <c r="H771" s="1"/>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G772" s="1"/>
      <c r="H772" s="1"/>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G773" s="1"/>
      <c r="H773" s="1"/>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G774" s="1"/>
      <c r="H774" s="1"/>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G775" s="1"/>
      <c r="H775" s="1"/>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G776" s="1"/>
      <c r="H776" s="1"/>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G777" s="1"/>
      <c r="H777" s="1"/>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G778" s="1"/>
      <c r="H778" s="1"/>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G779" s="1"/>
      <c r="H779" s="1"/>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G780" s="1"/>
      <c r="H780" s="1"/>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G781" s="1"/>
      <c r="H781" s="1"/>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G782" s="1"/>
      <c r="H782" s="1"/>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G783" s="1"/>
      <c r="H783" s="1"/>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G784" s="1"/>
      <c r="H784" s="1"/>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G785" s="1"/>
      <c r="H785" s="1"/>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G786" s="1"/>
      <c r="H786" s="1"/>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G787" s="1"/>
      <c r="H787" s="1"/>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G788" s="1"/>
      <c r="H788" s="1"/>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G789" s="1"/>
      <c r="H789" s="1"/>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G790" s="1"/>
      <c r="H790" s="1"/>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G791" s="1"/>
      <c r="H791" s="1"/>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G792" s="1"/>
      <c r="H792" s="1"/>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G793" s="1"/>
      <c r="H793" s="1"/>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G794" s="1"/>
      <c r="H794" s="1"/>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G795" s="1"/>
      <c r="H795" s="1"/>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G796" s="1"/>
      <c r="H796" s="1"/>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G797" s="1"/>
      <c r="H797" s="1"/>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G798" s="1"/>
      <c r="H798" s="1"/>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G799" s="1"/>
      <c r="H799" s="1"/>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G800" s="1"/>
      <c r="H800" s="1"/>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G801" s="1"/>
      <c r="H801" s="1"/>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G802" s="1"/>
      <c r="H802" s="1"/>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G803" s="1"/>
      <c r="H803" s="1"/>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G804" s="1"/>
      <c r="H804" s="1"/>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G805" s="1"/>
      <c r="H805" s="1"/>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G806" s="1"/>
      <c r="H806" s="1"/>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G807" s="1"/>
      <c r="H807" s="1"/>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G808" s="1"/>
      <c r="H808" s="1"/>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G809" s="1"/>
      <c r="H809" s="1"/>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G810" s="1"/>
      <c r="H810" s="1"/>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G811" s="1"/>
      <c r="H811" s="1"/>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G812" s="1"/>
      <c r="H812" s="1"/>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G813" s="1"/>
      <c r="H813" s="1"/>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G814" s="1"/>
      <c r="H814" s="1"/>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G815" s="1"/>
      <c r="H815" s="1"/>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G816" s="1"/>
      <c r="H816" s="1"/>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G817" s="1"/>
      <c r="H817" s="1"/>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G818" s="1"/>
      <c r="H818" s="1"/>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G819" s="1"/>
      <c r="H819" s="1"/>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G820" s="1"/>
      <c r="H820" s="1"/>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G821" s="1"/>
      <c r="H821" s="1"/>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G822" s="1"/>
      <c r="H822" s="1"/>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G823" s="1"/>
      <c r="H823" s="1"/>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G824" s="1"/>
      <c r="H824" s="1"/>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G825" s="1"/>
      <c r="H825" s="1"/>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G826" s="1"/>
      <c r="H826" s="1"/>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G827" s="1"/>
      <c r="H827" s="1"/>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G828" s="1"/>
      <c r="H828" s="1"/>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G829" s="1"/>
      <c r="H829" s="1"/>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G830" s="1"/>
      <c r="H830" s="1"/>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G831" s="1"/>
      <c r="H831" s="1"/>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G832" s="1"/>
      <c r="H832" s="1"/>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G833" s="1"/>
      <c r="H833" s="1"/>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G834" s="1"/>
      <c r="H834" s="1"/>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G835" s="1"/>
      <c r="H835" s="1"/>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G836" s="1"/>
      <c r="H836" s="1"/>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G837" s="1"/>
      <c r="H837" s="1"/>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G838" s="1"/>
      <c r="H838" s="1"/>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G839" s="1"/>
      <c r="H839" s="1"/>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G840" s="1"/>
      <c r="H840" s="1"/>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G841" s="1"/>
      <c r="H841" s="1"/>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G842" s="1"/>
      <c r="H842" s="1"/>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G843" s="1"/>
      <c r="H843" s="1"/>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G844" s="1"/>
      <c r="H844" s="1"/>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G845" s="1"/>
      <c r="H845" s="1"/>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G846" s="1"/>
      <c r="H846" s="1"/>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G847" s="1"/>
      <c r="H847" s="1"/>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G848" s="1"/>
      <c r="H848" s="1"/>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G849" s="1"/>
      <c r="H849" s="1"/>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G850" s="1"/>
      <c r="H850" s="1"/>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G851" s="1"/>
      <c r="H851" s="1"/>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G852" s="1"/>
      <c r="H852" s="1"/>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G853" s="1"/>
      <c r="H853" s="1"/>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G854" s="1"/>
      <c r="H854" s="1"/>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G855" s="1"/>
      <c r="H855" s="1"/>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G856" s="1"/>
      <c r="H856" s="1"/>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G857" s="1"/>
      <c r="H857" s="1"/>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G858" s="1"/>
      <c r="H858" s="1"/>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G859" s="1"/>
      <c r="H859" s="1"/>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G860" s="1"/>
      <c r="H860" s="1"/>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G861" s="1"/>
      <c r="H861" s="1"/>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G862" s="1"/>
      <c r="H862" s="1"/>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G863" s="1"/>
      <c r="H863" s="1"/>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G864" s="1"/>
      <c r="H864" s="1"/>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G865" s="1"/>
      <c r="H865" s="1"/>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G866" s="1"/>
      <c r="H866" s="1"/>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G867" s="1"/>
      <c r="H867" s="1"/>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G868" s="1"/>
      <c r="H868" s="1"/>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G869" s="1"/>
      <c r="H869" s="1"/>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G870" s="1"/>
      <c r="H870" s="1"/>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G871" s="1"/>
      <c r="H871" s="1"/>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G872" s="1"/>
      <c r="H872" s="1"/>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G873" s="1"/>
      <c r="H873" s="1"/>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G874" s="1"/>
      <c r="H874" s="1"/>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G875" s="1"/>
      <c r="H875" s="1"/>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G876" s="1"/>
      <c r="H876" s="1"/>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G877" s="1"/>
      <c r="H877" s="1"/>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G878" s="1"/>
      <c r="H878" s="1"/>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G879" s="1"/>
      <c r="H879" s="1"/>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G880" s="1"/>
      <c r="H880" s="1"/>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G881" s="1"/>
      <c r="H881" s="1"/>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G882" s="1"/>
      <c r="H882" s="1"/>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G883" s="1"/>
      <c r="H883" s="1"/>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G884" s="1"/>
      <c r="H884" s="1"/>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G885" s="1"/>
      <c r="H885" s="1"/>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G886" s="1"/>
      <c r="H886" s="1"/>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G887" s="1"/>
      <c r="H887" s="1"/>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G888" s="1"/>
      <c r="H888" s="1"/>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G889" s="1"/>
      <c r="H889" s="1"/>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G890" s="1"/>
      <c r="H890" s="1"/>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G891" s="1"/>
      <c r="H891" s="1"/>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G892" s="1"/>
      <c r="H892" s="1"/>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G893" s="1"/>
      <c r="H893" s="1"/>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G894" s="1"/>
      <c r="H894" s="1"/>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G895" s="1"/>
      <c r="H895" s="1"/>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G896" s="1"/>
      <c r="H896" s="1"/>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G897" s="1"/>
      <c r="H897" s="1"/>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G898" s="1"/>
      <c r="H898" s="1"/>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G899" s="1"/>
      <c r="H899" s="1"/>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G900" s="1"/>
      <c r="H900" s="1"/>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G901" s="1"/>
      <c r="H901" s="1"/>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G902" s="1"/>
      <c r="H902" s="1"/>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G903" s="1"/>
      <c r="H903" s="1"/>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G904" s="1"/>
      <c r="H904" s="1"/>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G905" s="1"/>
      <c r="H905" s="1"/>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G906" s="1"/>
      <c r="H906" s="1"/>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G907" s="1"/>
      <c r="H907" s="1"/>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G908" s="1"/>
      <c r="H908" s="1"/>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G909" s="1"/>
      <c r="H909" s="1"/>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G910" s="1"/>
      <c r="H910" s="1"/>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G911" s="1"/>
      <c r="H911" s="1"/>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G912" s="1"/>
      <c r="H912" s="1"/>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G913" s="1"/>
      <c r="H913" s="1"/>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G914" s="1"/>
      <c r="H914" s="1"/>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G915" s="1"/>
      <c r="H915" s="1"/>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G916" s="1"/>
      <c r="H916" s="1"/>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G917" s="1"/>
      <c r="H917" s="1"/>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G918" s="1"/>
      <c r="H918" s="1"/>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G919" s="1"/>
      <c r="H919" s="1"/>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G920" s="1"/>
      <c r="H920" s="1"/>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G921" s="1"/>
      <c r="H921" s="1"/>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G922" s="1"/>
      <c r="H922" s="1"/>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G923" s="1"/>
      <c r="H923" s="1"/>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G924" s="1"/>
      <c r="H924" s="1"/>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G925" s="1"/>
      <c r="H925" s="1"/>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G926" s="1"/>
      <c r="H926" s="1"/>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G927" s="1"/>
      <c r="H927" s="1"/>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G928" s="1"/>
      <c r="H928" s="1"/>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G929" s="1"/>
      <c r="H929" s="1"/>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G930" s="1"/>
      <c r="H930" s="1"/>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G931" s="1"/>
      <c r="H931" s="1"/>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G932" s="1"/>
      <c r="H932" s="1"/>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G933" s="1"/>
      <c r="H933" s="1"/>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G934" s="1"/>
      <c r="H934" s="1"/>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G935" s="1"/>
      <c r="H935" s="1"/>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G936" s="1"/>
      <c r="H936" s="1"/>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G937" s="1"/>
      <c r="H937" s="1"/>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G938" s="1"/>
      <c r="H938" s="1"/>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G939" s="1"/>
      <c r="H939" s="1"/>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G940" s="1"/>
      <c r="H940" s="1"/>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G941" s="1"/>
      <c r="H941" s="1"/>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G942" s="1"/>
      <c r="H942" s="1"/>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G943" s="1"/>
      <c r="H943" s="1"/>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G944" s="1"/>
      <c r="H944" s="1"/>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G945" s="1"/>
      <c r="H945" s="1"/>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G946" s="1"/>
      <c r="H946" s="1"/>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G947" s="1"/>
      <c r="H947" s="1"/>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G948" s="1"/>
      <c r="H948" s="1"/>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G949" s="1"/>
      <c r="H949" s="1"/>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G950" s="1"/>
      <c r="H950" s="1"/>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G951" s="1"/>
      <c r="H951" s="1"/>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G952" s="1"/>
      <c r="H952" s="1"/>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G953" s="1"/>
      <c r="H953" s="1"/>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G954" s="1"/>
      <c r="H954" s="1"/>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G955" s="1"/>
      <c r="H955" s="1"/>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G956" s="1"/>
      <c r="H956" s="1"/>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G957" s="1"/>
      <c r="H957" s="1"/>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G958" s="1"/>
      <c r="H958" s="1"/>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G959" s="1"/>
      <c r="H959" s="1"/>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G960" s="1"/>
      <c r="H960" s="1"/>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G961" s="1"/>
      <c r="H961" s="1"/>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G962" s="1"/>
      <c r="H962" s="1"/>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G963" s="1"/>
      <c r="H963" s="1"/>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G964" s="1"/>
      <c r="H964" s="1"/>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G965" s="1"/>
      <c r="H965" s="1"/>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G966" s="1"/>
      <c r="H966" s="1"/>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G967" s="1"/>
      <c r="H967" s="1"/>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G968" s="1"/>
      <c r="H968" s="1"/>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G969" s="1"/>
      <c r="H969" s="1"/>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G970" s="1"/>
      <c r="H970" s="1"/>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G971" s="1"/>
      <c r="H971" s="1"/>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G972" s="1"/>
      <c r="H972" s="1"/>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G973" s="1"/>
      <c r="H973" s="1"/>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G974" s="1"/>
      <c r="H974" s="1"/>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G975" s="1"/>
      <c r="H975" s="1"/>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G976" s="1"/>
      <c r="H976" s="1"/>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G977" s="1"/>
      <c r="H977" s="1"/>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G978" s="1"/>
      <c r="H978" s="1"/>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G979" s="1"/>
      <c r="H979" s="1"/>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G980" s="1"/>
      <c r="H980" s="1"/>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G981" s="1"/>
      <c r="H981" s="1"/>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G982" s="1"/>
      <c r="H982" s="1"/>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G983" s="1"/>
      <c r="H983" s="1"/>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G984" s="1"/>
      <c r="H984" s="1"/>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G985" s="1"/>
      <c r="H985" s="1"/>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G986" s="1"/>
      <c r="H986" s="1"/>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G987" s="1"/>
      <c r="H987" s="1"/>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G988" s="1"/>
      <c r="H988" s="1"/>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G989" s="1"/>
      <c r="H989" s="1"/>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G990" s="1"/>
      <c r="H990" s="1"/>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G991" s="1"/>
      <c r="H991" s="1"/>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G992" s="1"/>
      <c r="H992" s="1"/>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G993" s="1"/>
      <c r="H993" s="1"/>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G994" s="1"/>
      <c r="H994" s="1"/>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G995" s="1"/>
      <c r="H995" s="1"/>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G996" s="1"/>
      <c r="H996" s="1"/>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G997" s="1"/>
      <c r="H997" s="1"/>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G998" s="1"/>
      <c r="H998" s="1"/>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G999" s="1"/>
      <c r="H999" s="1"/>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G1000" s="1"/>
      <c r="H1000" s="1"/>
      <c r="I1000" s="1"/>
      <c r="J1000" s="1"/>
      <c r="K1000" s="1"/>
      <c r="L1000" s="1"/>
      <c r="M1000" s="1"/>
      <c r="N1000" s="1"/>
      <c r="O1000" s="1"/>
      <c r="P1000" s="1"/>
      <c r="Q1000" s="1"/>
      <c r="R1000" s="1"/>
      <c r="S1000" s="1"/>
      <c r="T1000" s="1"/>
      <c r="U1000" s="1"/>
      <c r="V1000" s="1"/>
      <c r="W1000" s="1"/>
      <c r="X1000" s="1"/>
      <c r="Y1000" s="1"/>
      <c r="Z1000" s="1"/>
    </row>
  </sheetData>
  <autoFilter ref="A3:E45"/>
  <mergeCells count="2">
    <mergeCell ref="A1:E1"/>
    <mergeCell ref="A2:E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5"/>
    <col collapsed="false" customWidth="true" hidden="false" outlineLevel="0" max="2" min="2" style="1" width="40"/>
    <col collapsed="false" customWidth="true" hidden="false" outlineLevel="0" max="3" min="3" style="1" width="10"/>
    <col collapsed="false" customWidth="true" hidden="false" outlineLevel="0" max="8" min="4" style="1" width="12"/>
    <col collapsed="false" customWidth="true" hidden="false" outlineLevel="0" max="9" min="9" style="1" width="18"/>
    <col collapsed="false" customWidth="true" hidden="false" outlineLevel="0" max="26" min="10" style="1" width="8.71"/>
  </cols>
  <sheetData>
    <row r="1" customFormat="false" ht="39.75" hidden="false" customHeight="true" outlineLevel="0" collapsed="false">
      <c r="A1" s="19" t="s">
        <v>429</v>
      </c>
      <c r="B1" s="19"/>
      <c r="C1" s="19"/>
      <c r="D1" s="19"/>
      <c r="E1" s="19"/>
      <c r="F1" s="19"/>
      <c r="G1" s="19"/>
      <c r="H1" s="19"/>
      <c r="I1" s="19"/>
    </row>
    <row r="2" customFormat="false" ht="19.5" hidden="false" customHeight="true" outlineLevel="0" collapsed="false">
      <c r="A2" s="20" t="s">
        <v>430</v>
      </c>
      <c r="B2" s="20"/>
      <c r="C2" s="20"/>
      <c r="D2" s="20"/>
      <c r="E2" s="20"/>
      <c r="F2" s="20"/>
      <c r="G2" s="20"/>
      <c r="H2" s="20"/>
      <c r="I2" s="20"/>
    </row>
    <row r="3" customFormat="false" ht="30" hidden="false" customHeight="true" outlineLevel="0" collapsed="false">
      <c r="A3" s="62" t="s">
        <v>55</v>
      </c>
      <c r="B3" s="62" t="s">
        <v>431</v>
      </c>
      <c r="C3" s="62" t="s">
        <v>432</v>
      </c>
      <c r="D3" s="62" t="s">
        <v>433</v>
      </c>
      <c r="E3" s="62" t="s">
        <v>434</v>
      </c>
      <c r="F3" s="62" t="s">
        <v>435</v>
      </c>
      <c r="G3" s="62" t="s">
        <v>436</v>
      </c>
      <c r="H3" s="62" t="s">
        <v>316</v>
      </c>
      <c r="I3" s="62" t="s">
        <v>437</v>
      </c>
    </row>
    <row r="4" customFormat="false" ht="15" hidden="false" customHeight="true" outlineLevel="0" collapsed="false">
      <c r="A4" s="92" t="n">
        <v>1</v>
      </c>
      <c r="B4" s="93" t="s">
        <v>438</v>
      </c>
      <c r="C4" s="94" t="s">
        <v>439</v>
      </c>
      <c r="D4" s="94" t="n">
        <v>165.6</v>
      </c>
      <c r="E4" s="94" t="n">
        <v>135.73</v>
      </c>
      <c r="F4" s="94" t="n">
        <v>12.58</v>
      </c>
      <c r="G4" s="92" t="n">
        <v>313.91</v>
      </c>
      <c r="H4" s="26" t="n">
        <f aca="false">G4/G14</f>
        <v>0.0858714622576992</v>
      </c>
      <c r="I4" s="94" t="s">
        <v>440</v>
      </c>
    </row>
    <row r="5" customFormat="false" ht="15" hidden="false" customHeight="true" outlineLevel="0" collapsed="false">
      <c r="A5" s="95" t="n">
        <v>2</v>
      </c>
      <c r="B5" s="96" t="s">
        <v>441</v>
      </c>
      <c r="C5" s="97" t="s">
        <v>442</v>
      </c>
      <c r="D5" s="97" t="n">
        <v>115</v>
      </c>
      <c r="E5" s="97" t="n">
        <v>143</v>
      </c>
      <c r="F5" s="97" t="n">
        <v>22.92</v>
      </c>
      <c r="G5" s="95" t="n">
        <v>280.92</v>
      </c>
      <c r="H5" s="31" t="n">
        <f aca="false">G5/G14</f>
        <v>0.0768469025435088</v>
      </c>
      <c r="I5" s="97" t="s">
        <v>440</v>
      </c>
    </row>
    <row r="6" customFormat="false" ht="15" hidden="false" customHeight="true" outlineLevel="0" collapsed="false">
      <c r="A6" s="92" t="n">
        <v>3</v>
      </c>
      <c r="B6" s="93" t="s">
        <v>443</v>
      </c>
      <c r="C6" s="94" t="s">
        <v>442</v>
      </c>
      <c r="D6" s="94" t="n">
        <v>59</v>
      </c>
      <c r="E6" s="94" t="n">
        <v>119.17</v>
      </c>
      <c r="F6" s="94" t="n">
        <v>38.25</v>
      </c>
      <c r="G6" s="92" t="n">
        <v>216.42</v>
      </c>
      <c r="H6" s="26" t="n">
        <f aca="false">G6/G14</f>
        <v>0.0592026436297386</v>
      </c>
      <c r="I6" s="94" t="s">
        <v>440</v>
      </c>
    </row>
    <row r="7" customFormat="false" ht="15" hidden="false" customHeight="true" outlineLevel="0" collapsed="false">
      <c r="A7" s="95" t="n">
        <v>4</v>
      </c>
      <c r="B7" s="96" t="s">
        <v>444</v>
      </c>
      <c r="C7" s="97" t="s">
        <v>439</v>
      </c>
      <c r="D7" s="97" t="n">
        <v>107.92</v>
      </c>
      <c r="E7" s="97" t="n">
        <v>48</v>
      </c>
      <c r="F7" s="97" t="n">
        <v>20.75</v>
      </c>
      <c r="G7" s="95" t="n">
        <v>176.67</v>
      </c>
      <c r="H7" s="31" t="n">
        <f aca="false">G7/G14</f>
        <v>0.0483288561596245</v>
      </c>
      <c r="I7" s="97" t="s">
        <v>440</v>
      </c>
    </row>
    <row r="8" customFormat="false" ht="15" hidden="false" customHeight="true" outlineLevel="0" collapsed="false">
      <c r="A8" s="92" t="n">
        <v>5</v>
      </c>
      <c r="B8" s="93" t="s">
        <v>445</v>
      </c>
      <c r="C8" s="94" t="s">
        <v>446</v>
      </c>
      <c r="D8" s="94" t="n">
        <v>98</v>
      </c>
      <c r="E8" s="94" t="n">
        <v>50.33</v>
      </c>
      <c r="F8" s="94" t="n">
        <v>15.25</v>
      </c>
      <c r="G8" s="92" t="n">
        <v>163.58</v>
      </c>
      <c r="H8" s="26" t="n">
        <f aca="false">G8/G14</f>
        <v>0.0447480290405353</v>
      </c>
      <c r="I8" s="94" t="s">
        <v>440</v>
      </c>
    </row>
    <row r="9" customFormat="false" ht="15" hidden="false" customHeight="true" outlineLevel="0" collapsed="false">
      <c r="A9" s="95" t="n">
        <v>6</v>
      </c>
      <c r="B9" s="96" t="s">
        <v>447</v>
      </c>
      <c r="C9" s="97" t="s">
        <v>448</v>
      </c>
      <c r="D9" s="97" t="n">
        <v>35.58</v>
      </c>
      <c r="E9" s="97" t="n">
        <v>46.92</v>
      </c>
      <c r="F9" s="97" t="n">
        <v>36.45</v>
      </c>
      <c r="G9" s="95" t="n">
        <v>118.95</v>
      </c>
      <c r="H9" s="31" t="n">
        <f aca="false">G9/G14</f>
        <v>0.0325392960898134</v>
      </c>
      <c r="I9" s="97" t="s">
        <v>440</v>
      </c>
    </row>
    <row r="10" customFormat="false" ht="15" hidden="false" customHeight="true" outlineLevel="0" collapsed="false">
      <c r="A10" s="92" t="n">
        <v>7</v>
      </c>
      <c r="B10" s="93" t="s">
        <v>449</v>
      </c>
      <c r="C10" s="94" t="s">
        <v>439</v>
      </c>
      <c r="D10" s="94" t="n">
        <v>54.87</v>
      </c>
      <c r="E10" s="94" t="n">
        <v>39.25</v>
      </c>
      <c r="F10" s="94" t="n">
        <v>14.58</v>
      </c>
      <c r="G10" s="92" t="n">
        <v>108.7</v>
      </c>
      <c r="H10" s="26" t="n">
        <f aca="false">G10/G14</f>
        <v>0.0297353634717336</v>
      </c>
      <c r="I10" s="94" t="s">
        <v>440</v>
      </c>
    </row>
    <row r="11" customFormat="false" ht="15" hidden="false" customHeight="true" outlineLevel="0" collapsed="false">
      <c r="A11" s="95" t="n">
        <v>8</v>
      </c>
      <c r="B11" s="96" t="s">
        <v>450</v>
      </c>
      <c r="C11" s="97" t="s">
        <v>439</v>
      </c>
      <c r="D11" s="97" t="n">
        <v>25.17</v>
      </c>
      <c r="E11" s="97" t="n">
        <v>43.5</v>
      </c>
      <c r="F11" s="97" t="n">
        <v>32.58</v>
      </c>
      <c r="G11" s="95" t="n">
        <v>101.25</v>
      </c>
      <c r="H11" s="31" t="n">
        <f aca="false">G11/G14</f>
        <v>0.0276973831785927</v>
      </c>
      <c r="I11" s="97" t="s">
        <v>440</v>
      </c>
    </row>
    <row r="12" customFormat="false" ht="15" hidden="false" customHeight="true" outlineLevel="0" collapsed="false">
      <c r="A12" s="92" t="n">
        <v>9</v>
      </c>
      <c r="B12" s="93" t="s">
        <v>451</v>
      </c>
      <c r="C12" s="94" t="s">
        <v>442</v>
      </c>
      <c r="D12" s="94" t="n">
        <v>73.17</v>
      </c>
      <c r="E12" s="94" t="n">
        <v>20.7</v>
      </c>
      <c r="F12" s="94" t="n">
        <v>0</v>
      </c>
      <c r="G12" s="92" t="n">
        <v>93.87</v>
      </c>
      <c r="H12" s="26" t="n">
        <f aca="false">G12/G14</f>
        <v>0.0256785516935753</v>
      </c>
      <c r="I12" s="94" t="s">
        <v>452</v>
      </c>
    </row>
    <row r="13" customFormat="false" ht="15" hidden="false" customHeight="true" outlineLevel="0" collapsed="false">
      <c r="A13" s="95" t="n">
        <v>10</v>
      </c>
      <c r="B13" s="96" t="s">
        <v>453</v>
      </c>
      <c r="C13" s="97" t="s">
        <v>454</v>
      </c>
      <c r="D13" s="97" t="n">
        <v>0</v>
      </c>
      <c r="E13" s="97" t="n">
        <v>49.92</v>
      </c>
      <c r="F13" s="97" t="n">
        <v>37</v>
      </c>
      <c r="G13" s="95" t="n">
        <v>86.92</v>
      </c>
      <c r="H13" s="31" t="n">
        <f aca="false">G13/G14</f>
        <v>0.0237773486013163</v>
      </c>
      <c r="I13" s="97" t="s">
        <v>440</v>
      </c>
    </row>
    <row r="14" customFormat="false" ht="15" hidden="false" customHeight="true" outlineLevel="0" collapsed="false">
      <c r="B14" s="38" t="s">
        <v>455</v>
      </c>
      <c r="D14" s="39" t="n">
        <v>1546.25</v>
      </c>
      <c r="E14" s="39" t="n">
        <v>1470.03</v>
      </c>
      <c r="F14" s="39" t="n">
        <v>639.3</v>
      </c>
      <c r="G14" s="39" t="n">
        <v>3655.58</v>
      </c>
    </row>
    <row r="15" customFormat="false" ht="15" hidden="false" customHeight="true" outlineLevel="0" collapsed="false"/>
    <row r="16" customFormat="false" ht="15.75" hidden="false" customHeight="true" outlineLevel="0" collapsed="false">
      <c r="A16" s="45" t="s">
        <v>159</v>
      </c>
      <c r="B16" s="45"/>
      <c r="C16" s="45"/>
      <c r="D16" s="45"/>
      <c r="E16" s="45"/>
      <c r="F16" s="45"/>
      <c r="G16" s="45"/>
      <c r="H16" s="45"/>
      <c r="I16" s="45"/>
    </row>
    <row r="17" customFormat="false" ht="15.75" hidden="false" customHeight="true" outlineLevel="0" collapsed="false">
      <c r="A17" s="46" t="s">
        <v>456</v>
      </c>
      <c r="B17" s="46"/>
      <c r="C17" s="46"/>
      <c r="D17" s="46"/>
      <c r="E17" s="46"/>
      <c r="F17" s="46"/>
      <c r="G17" s="46"/>
      <c r="H17" s="46"/>
      <c r="I17" s="46"/>
    </row>
    <row r="18" customFormat="false" ht="15.75" hidden="false" customHeight="true" outlineLevel="0" collapsed="false">
      <c r="A18" s="46" t="s">
        <v>457</v>
      </c>
      <c r="B18" s="46"/>
      <c r="C18" s="46"/>
      <c r="D18" s="46"/>
      <c r="E18" s="46"/>
      <c r="F18" s="46"/>
      <c r="G18" s="46"/>
      <c r="H18" s="46"/>
      <c r="I18" s="46"/>
    </row>
    <row r="19" customFormat="false" ht="15.75" hidden="false" customHeight="true" outlineLevel="0" collapsed="false">
      <c r="A19" s="46" t="s">
        <v>458</v>
      </c>
      <c r="B19" s="46"/>
      <c r="C19" s="46"/>
      <c r="D19" s="46"/>
      <c r="E19" s="46"/>
      <c r="F19" s="46"/>
      <c r="G19" s="46"/>
      <c r="H19" s="46"/>
      <c r="I19" s="46"/>
    </row>
    <row r="20" customFormat="false" ht="15.75" hidden="false" customHeight="true" outlineLevel="0" collapsed="false">
      <c r="A20" s="46" t="s">
        <v>459</v>
      </c>
      <c r="B20" s="46"/>
      <c r="C20" s="46"/>
      <c r="D20" s="46"/>
      <c r="E20" s="46"/>
      <c r="F20" s="46"/>
      <c r="G20" s="46"/>
      <c r="H20" s="46"/>
      <c r="I20" s="46"/>
    </row>
    <row r="21" customFormat="false" ht="15.75" hidden="false" customHeight="true" outlineLevel="0" collapsed="false">
      <c r="A21" s="46" t="s">
        <v>460</v>
      </c>
      <c r="B21" s="46"/>
      <c r="C21" s="46"/>
      <c r="D21" s="46"/>
      <c r="E21" s="46"/>
      <c r="F21" s="46"/>
      <c r="G21" s="46"/>
      <c r="H21" s="46"/>
      <c r="I21" s="46"/>
    </row>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3:I13"/>
  <mergeCells count="8">
    <mergeCell ref="A1:I1"/>
    <mergeCell ref="A2:I2"/>
    <mergeCell ref="A16:I16"/>
    <mergeCell ref="A17:I17"/>
    <mergeCell ref="A18:I18"/>
    <mergeCell ref="A19:I19"/>
    <mergeCell ref="A20:I20"/>
    <mergeCell ref="A21:I2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5"/>
    <col collapsed="false" customWidth="true" hidden="false" outlineLevel="0" max="2" min="2" style="1" width="40"/>
    <col collapsed="false" customWidth="true" hidden="false" outlineLevel="0" max="3" min="3" style="1" width="10"/>
    <col collapsed="false" customWidth="true" hidden="false" outlineLevel="0" max="8" min="4" style="1" width="12"/>
    <col collapsed="false" customWidth="true" hidden="false" outlineLevel="0" max="26" min="9" style="1" width="8.71"/>
  </cols>
  <sheetData>
    <row r="1" customFormat="false" ht="39.75" hidden="false" customHeight="true" outlineLevel="0" collapsed="false">
      <c r="A1" s="68" t="s">
        <v>461</v>
      </c>
      <c r="B1" s="68"/>
      <c r="C1" s="68"/>
      <c r="D1" s="68"/>
      <c r="E1" s="68"/>
      <c r="F1" s="68"/>
      <c r="G1" s="68"/>
      <c r="H1" s="68"/>
    </row>
    <row r="2" customFormat="false" ht="19.5" hidden="false" customHeight="true" outlineLevel="0" collapsed="false">
      <c r="A2" s="20" t="s">
        <v>430</v>
      </c>
      <c r="B2" s="20"/>
      <c r="C2" s="20"/>
      <c r="D2" s="20"/>
      <c r="E2" s="20"/>
      <c r="F2" s="20"/>
      <c r="G2" s="20"/>
      <c r="H2" s="20"/>
    </row>
    <row r="3" customFormat="false" ht="30" hidden="false" customHeight="true" outlineLevel="0" collapsed="false">
      <c r="A3" s="98" t="s">
        <v>55</v>
      </c>
      <c r="B3" s="98" t="s">
        <v>431</v>
      </c>
      <c r="C3" s="98" t="s">
        <v>432</v>
      </c>
      <c r="D3" s="98" t="s">
        <v>433</v>
      </c>
      <c r="E3" s="98" t="s">
        <v>434</v>
      </c>
      <c r="F3" s="98" t="s">
        <v>435</v>
      </c>
      <c r="G3" s="98" t="s">
        <v>436</v>
      </c>
      <c r="H3" s="98" t="s">
        <v>316</v>
      </c>
    </row>
    <row r="4" customFormat="false" ht="15" hidden="false" customHeight="true" outlineLevel="0" collapsed="false">
      <c r="A4" s="99" t="n">
        <v>1</v>
      </c>
      <c r="B4" s="100" t="s">
        <v>462</v>
      </c>
      <c r="C4" s="101" t="s">
        <v>439</v>
      </c>
      <c r="D4" s="101" t="n">
        <v>0.5</v>
      </c>
      <c r="E4" s="101" t="n">
        <v>0</v>
      </c>
      <c r="F4" s="101" t="n">
        <v>0</v>
      </c>
      <c r="G4" s="99" t="n">
        <v>0.5</v>
      </c>
      <c r="H4" s="58" t="n">
        <f aca="false">G4/G14</f>
        <v>0.000136777200881939</v>
      </c>
    </row>
    <row r="5" customFormat="false" ht="15" hidden="false" customHeight="true" outlineLevel="0" collapsed="false">
      <c r="A5" s="99" t="n">
        <v>2</v>
      </c>
      <c r="B5" s="100" t="s">
        <v>463</v>
      </c>
      <c r="C5" s="101" t="s">
        <v>439</v>
      </c>
      <c r="D5" s="101" t="n">
        <v>0</v>
      </c>
      <c r="E5" s="101" t="n">
        <v>0</v>
      </c>
      <c r="F5" s="101" t="n">
        <v>0.5</v>
      </c>
      <c r="G5" s="99" t="n">
        <v>0.5</v>
      </c>
      <c r="H5" s="58" t="n">
        <f aca="false">G5/G14</f>
        <v>0.000136777200881939</v>
      </c>
    </row>
    <row r="6" customFormat="false" ht="15" hidden="false" customHeight="true" outlineLevel="0" collapsed="false">
      <c r="A6" s="99" t="n">
        <v>3</v>
      </c>
      <c r="B6" s="100" t="s">
        <v>464</v>
      </c>
      <c r="C6" s="101" t="s">
        <v>448</v>
      </c>
      <c r="D6" s="101" t="n">
        <v>0.92</v>
      </c>
      <c r="E6" s="101" t="n">
        <v>0</v>
      </c>
      <c r="F6" s="101" t="n">
        <v>0</v>
      </c>
      <c r="G6" s="99" t="n">
        <v>0.92</v>
      </c>
      <c r="H6" s="58" t="n">
        <f aca="false">G6/G14</f>
        <v>0.000251670049622769</v>
      </c>
    </row>
    <row r="7" customFormat="false" ht="15" hidden="false" customHeight="true" outlineLevel="0" collapsed="false">
      <c r="A7" s="95" t="n">
        <v>4</v>
      </c>
      <c r="B7" s="96" t="s">
        <v>465</v>
      </c>
      <c r="C7" s="97" t="s">
        <v>446</v>
      </c>
      <c r="D7" s="97" t="n">
        <v>1</v>
      </c>
      <c r="E7" s="97" t="n">
        <v>0</v>
      </c>
      <c r="F7" s="97" t="n">
        <v>0</v>
      </c>
      <c r="G7" s="95" t="n">
        <v>1</v>
      </c>
      <c r="H7" s="31" t="n">
        <f aca="false">G7/G14</f>
        <v>0.000273554401763879</v>
      </c>
    </row>
    <row r="8" customFormat="false" ht="15" hidden="false" customHeight="true" outlineLevel="0" collapsed="false">
      <c r="A8" s="92" t="n">
        <v>5</v>
      </c>
      <c r="B8" s="93" t="s">
        <v>466</v>
      </c>
      <c r="C8" s="94" t="s">
        <v>439</v>
      </c>
      <c r="D8" s="94" t="n">
        <v>1</v>
      </c>
      <c r="E8" s="94" t="n">
        <v>0</v>
      </c>
      <c r="F8" s="94" t="n">
        <v>0</v>
      </c>
      <c r="G8" s="92" t="n">
        <v>1</v>
      </c>
      <c r="H8" s="26" t="n">
        <f aca="false">G8/G14</f>
        <v>0.000273554401763879</v>
      </c>
    </row>
    <row r="9" customFormat="false" ht="15" hidden="false" customHeight="true" outlineLevel="0" collapsed="false">
      <c r="A9" s="95" t="n">
        <v>6</v>
      </c>
      <c r="B9" s="96" t="s">
        <v>467</v>
      </c>
      <c r="C9" s="97" t="s">
        <v>439</v>
      </c>
      <c r="D9" s="97" t="n">
        <v>1.83</v>
      </c>
      <c r="E9" s="97" t="n">
        <v>0</v>
      </c>
      <c r="F9" s="97" t="n">
        <v>0</v>
      </c>
      <c r="G9" s="95" t="n">
        <v>1.83</v>
      </c>
      <c r="H9" s="31" t="n">
        <f aca="false">G9/G14</f>
        <v>0.000500604555227898</v>
      </c>
    </row>
    <row r="10" customFormat="false" ht="15" hidden="false" customHeight="true" outlineLevel="0" collapsed="false">
      <c r="A10" s="92" t="n">
        <v>7</v>
      </c>
      <c r="B10" s="93" t="s">
        <v>468</v>
      </c>
      <c r="C10" s="94" t="s">
        <v>448</v>
      </c>
      <c r="D10" s="94" t="n">
        <v>2</v>
      </c>
      <c r="E10" s="94" t="n">
        <v>0</v>
      </c>
      <c r="F10" s="94" t="n">
        <v>0</v>
      </c>
      <c r="G10" s="92" t="n">
        <v>2</v>
      </c>
      <c r="H10" s="26" t="n">
        <f aca="false">G10/G14</f>
        <v>0.000547108803527758</v>
      </c>
    </row>
    <row r="11" customFormat="false" ht="15" hidden="false" customHeight="true" outlineLevel="0" collapsed="false">
      <c r="A11" s="95" t="n">
        <v>8</v>
      </c>
      <c r="B11" s="96" t="s">
        <v>469</v>
      </c>
      <c r="C11" s="97" t="s">
        <v>439</v>
      </c>
      <c r="D11" s="97" t="n">
        <v>0</v>
      </c>
      <c r="E11" s="97" t="n">
        <v>2.17</v>
      </c>
      <c r="F11" s="97" t="n">
        <v>0</v>
      </c>
      <c r="G11" s="95" t="n">
        <v>2.17</v>
      </c>
      <c r="H11" s="31" t="n">
        <f aca="false">G11/G14</f>
        <v>0.000593613051827617</v>
      </c>
    </row>
    <row r="12" customFormat="false" ht="15" hidden="false" customHeight="true" outlineLevel="0" collapsed="false">
      <c r="A12" s="92" t="n">
        <v>9</v>
      </c>
      <c r="B12" s="93" t="s">
        <v>470</v>
      </c>
      <c r="C12" s="94" t="s">
        <v>439</v>
      </c>
      <c r="D12" s="94" t="n">
        <v>2.5</v>
      </c>
      <c r="E12" s="94" t="n">
        <v>0</v>
      </c>
      <c r="F12" s="94" t="n">
        <v>0</v>
      </c>
      <c r="G12" s="92" t="n">
        <v>2.5</v>
      </c>
      <c r="H12" s="26" t="n">
        <f aca="false">G12/G14</f>
        <v>0.000683886004409697</v>
      </c>
    </row>
    <row r="13" customFormat="false" ht="15" hidden="false" customHeight="true" outlineLevel="0" collapsed="false">
      <c r="A13" s="95" t="n">
        <v>10</v>
      </c>
      <c r="B13" s="96" t="s">
        <v>471</v>
      </c>
      <c r="C13" s="97" t="s">
        <v>439</v>
      </c>
      <c r="D13" s="97" t="n">
        <v>2</v>
      </c>
      <c r="E13" s="97" t="n">
        <v>1</v>
      </c>
      <c r="F13" s="97" t="n">
        <v>0</v>
      </c>
      <c r="G13" s="95" t="n">
        <v>3</v>
      </c>
      <c r="H13" s="31" t="n">
        <f aca="false">G13/G14</f>
        <v>0.000820663205291636</v>
      </c>
    </row>
    <row r="14" customFormat="false" ht="15" hidden="false" customHeight="true" outlineLevel="0" collapsed="false">
      <c r="G14" s="1" t="n">
        <v>3655.58</v>
      </c>
    </row>
    <row r="15" customFormat="false" ht="15" hidden="false" customHeight="true" outlineLevel="0" collapsed="false"/>
    <row r="16" customFormat="false" ht="15.75" hidden="false" customHeight="true" outlineLevel="0" collapsed="false">
      <c r="A16" s="45" t="s">
        <v>159</v>
      </c>
      <c r="B16" s="45"/>
      <c r="C16" s="45"/>
      <c r="D16" s="45"/>
      <c r="E16" s="45"/>
      <c r="F16" s="45"/>
      <c r="G16" s="45"/>
      <c r="H16" s="45"/>
    </row>
    <row r="17" customFormat="false" ht="15.75" hidden="false" customHeight="true" outlineLevel="0" collapsed="false">
      <c r="A17" s="46" t="s">
        <v>472</v>
      </c>
      <c r="B17" s="46"/>
      <c r="C17" s="46"/>
      <c r="D17" s="46"/>
      <c r="E17" s="46"/>
      <c r="F17" s="46"/>
      <c r="G17" s="46"/>
      <c r="H17" s="46"/>
    </row>
    <row r="18" customFormat="false" ht="15.75" hidden="false" customHeight="true" outlineLevel="0" collapsed="false">
      <c r="A18" s="46" t="s">
        <v>473</v>
      </c>
      <c r="B18" s="46"/>
      <c r="C18" s="46"/>
      <c r="D18" s="46"/>
      <c r="E18" s="46"/>
      <c r="F18" s="46"/>
      <c r="G18" s="46"/>
      <c r="H18" s="46"/>
    </row>
    <row r="19" customFormat="false" ht="15.75" hidden="false" customHeight="true" outlineLevel="0" collapsed="false">
      <c r="A19" s="46" t="s">
        <v>474</v>
      </c>
      <c r="B19" s="46"/>
      <c r="C19" s="46"/>
      <c r="D19" s="46"/>
      <c r="E19" s="46"/>
      <c r="F19" s="46"/>
      <c r="G19" s="46"/>
      <c r="H19" s="46"/>
    </row>
    <row r="20" customFormat="false" ht="15.75" hidden="false" customHeight="true" outlineLevel="0" collapsed="false">
      <c r="A20" s="46" t="s">
        <v>475</v>
      </c>
      <c r="B20" s="46"/>
      <c r="C20" s="46"/>
      <c r="D20" s="46"/>
      <c r="E20" s="46"/>
      <c r="F20" s="46"/>
      <c r="G20" s="46"/>
      <c r="H20" s="46"/>
    </row>
    <row r="21" customFormat="false" ht="15.75" hidden="false" customHeight="true" outlineLevel="0" collapsed="false">
      <c r="A21" s="46" t="s">
        <v>476</v>
      </c>
      <c r="B21" s="46"/>
      <c r="C21" s="46"/>
      <c r="D21" s="46"/>
      <c r="E21" s="46"/>
      <c r="F21" s="46"/>
      <c r="G21" s="46"/>
      <c r="H21" s="46"/>
    </row>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3:H13"/>
  <mergeCells count="8">
    <mergeCell ref="A1:H1"/>
    <mergeCell ref="A2:H2"/>
    <mergeCell ref="A16:H16"/>
    <mergeCell ref="A17:H17"/>
    <mergeCell ref="A18:H18"/>
    <mergeCell ref="A19:H19"/>
    <mergeCell ref="A20:H20"/>
    <mergeCell ref="A21:H2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5"/>
    <col collapsed="false" customWidth="true" hidden="false" outlineLevel="0" max="2" min="2" style="1" width="40"/>
    <col collapsed="false" customWidth="true" hidden="false" outlineLevel="0" max="3" min="3" style="1" width="10"/>
    <col collapsed="false" customWidth="true" hidden="false" outlineLevel="0" max="7" min="4" style="1" width="12"/>
    <col collapsed="false" customWidth="true" hidden="false" outlineLevel="0" max="8" min="8" style="1" width="14"/>
    <col collapsed="false" customWidth="true" hidden="false" outlineLevel="0" max="26" min="9" style="1" width="8.71"/>
  </cols>
  <sheetData>
    <row r="1" customFormat="false" ht="39.75" hidden="false" customHeight="true" outlineLevel="0" collapsed="false">
      <c r="A1" s="47" t="s">
        <v>477</v>
      </c>
      <c r="B1" s="47"/>
      <c r="C1" s="47"/>
      <c r="D1" s="47"/>
      <c r="E1" s="47"/>
      <c r="F1" s="47"/>
      <c r="G1" s="47"/>
      <c r="H1" s="47"/>
    </row>
    <row r="2" customFormat="false" ht="19.5" hidden="false" customHeight="true" outlineLevel="0" collapsed="false">
      <c r="A2" s="20" t="s">
        <v>430</v>
      </c>
      <c r="B2" s="20"/>
      <c r="C2" s="20"/>
      <c r="D2" s="20"/>
      <c r="E2" s="20"/>
      <c r="F2" s="20"/>
      <c r="G2" s="20"/>
      <c r="H2" s="20"/>
    </row>
    <row r="3" customFormat="false" ht="30" hidden="false" customHeight="true" outlineLevel="0" collapsed="false">
      <c r="A3" s="102" t="s">
        <v>55</v>
      </c>
      <c r="B3" s="102" t="s">
        <v>431</v>
      </c>
      <c r="C3" s="102" t="s">
        <v>432</v>
      </c>
      <c r="D3" s="102" t="s">
        <v>433</v>
      </c>
      <c r="E3" s="102" t="s">
        <v>434</v>
      </c>
      <c r="F3" s="102" t="s">
        <v>435</v>
      </c>
      <c r="G3" s="102" t="s">
        <v>436</v>
      </c>
      <c r="H3" s="102" t="s">
        <v>478</v>
      </c>
    </row>
    <row r="4" customFormat="false" ht="15" hidden="false" customHeight="true" outlineLevel="0" collapsed="false">
      <c r="A4" s="103" t="n">
        <v>1</v>
      </c>
      <c r="B4" s="104" t="s">
        <v>438</v>
      </c>
      <c r="C4" s="105" t="s">
        <v>439</v>
      </c>
      <c r="D4" s="105" t="n">
        <v>165.6</v>
      </c>
      <c r="E4" s="105" t="n">
        <v>135.73</v>
      </c>
      <c r="F4" s="105" t="n">
        <v>12.58</v>
      </c>
      <c r="G4" s="103" t="n">
        <v>313.91</v>
      </c>
      <c r="H4" s="103" t="s">
        <v>479</v>
      </c>
    </row>
    <row r="5" customFormat="false" ht="15" hidden="false" customHeight="true" outlineLevel="0" collapsed="false">
      <c r="A5" s="103" t="n">
        <v>2</v>
      </c>
      <c r="B5" s="104" t="s">
        <v>441</v>
      </c>
      <c r="C5" s="105" t="s">
        <v>442</v>
      </c>
      <c r="D5" s="105" t="n">
        <v>115</v>
      </c>
      <c r="E5" s="105" t="n">
        <v>143</v>
      </c>
      <c r="F5" s="105" t="n">
        <v>22.92</v>
      </c>
      <c r="G5" s="103" t="n">
        <v>280.92</v>
      </c>
      <c r="H5" s="103" t="s">
        <v>479</v>
      </c>
    </row>
    <row r="6" customFormat="false" ht="15" hidden="false" customHeight="true" outlineLevel="0" collapsed="false">
      <c r="A6" s="103" t="n">
        <v>3</v>
      </c>
      <c r="B6" s="104" t="s">
        <v>443</v>
      </c>
      <c r="C6" s="105" t="s">
        <v>442</v>
      </c>
      <c r="D6" s="105" t="n">
        <v>59</v>
      </c>
      <c r="E6" s="105" t="n">
        <v>119.17</v>
      </c>
      <c r="F6" s="105" t="n">
        <v>38.25</v>
      </c>
      <c r="G6" s="103" t="n">
        <v>216.42</v>
      </c>
      <c r="H6" s="103" t="s">
        <v>479</v>
      </c>
    </row>
    <row r="7" customFormat="false" ht="15" hidden="false" customHeight="true" outlineLevel="0" collapsed="false">
      <c r="A7" s="103" t="n">
        <v>4</v>
      </c>
      <c r="B7" s="104" t="s">
        <v>444</v>
      </c>
      <c r="C7" s="105" t="s">
        <v>439</v>
      </c>
      <c r="D7" s="105" t="n">
        <v>107.92</v>
      </c>
      <c r="E7" s="105" t="n">
        <v>48</v>
      </c>
      <c r="F7" s="105" t="n">
        <v>20.75</v>
      </c>
      <c r="G7" s="103" t="n">
        <v>176.67</v>
      </c>
      <c r="H7" s="103" t="s">
        <v>479</v>
      </c>
    </row>
    <row r="8" customFormat="false" ht="15" hidden="false" customHeight="true" outlineLevel="0" collapsed="false">
      <c r="A8" s="103" t="n">
        <v>5</v>
      </c>
      <c r="B8" s="104" t="s">
        <v>445</v>
      </c>
      <c r="C8" s="105" t="s">
        <v>446</v>
      </c>
      <c r="D8" s="105" t="n">
        <v>98</v>
      </c>
      <c r="E8" s="105" t="n">
        <v>50.33</v>
      </c>
      <c r="F8" s="105" t="n">
        <v>15.25</v>
      </c>
      <c r="G8" s="103" t="n">
        <v>163.58</v>
      </c>
      <c r="H8" s="103" t="s">
        <v>479</v>
      </c>
    </row>
    <row r="9" customFormat="false" ht="15" hidden="false" customHeight="true" outlineLevel="0" collapsed="false">
      <c r="A9" s="103" t="n">
        <v>6</v>
      </c>
      <c r="B9" s="104" t="s">
        <v>447</v>
      </c>
      <c r="C9" s="105" t="s">
        <v>448</v>
      </c>
      <c r="D9" s="105" t="n">
        <v>35.58</v>
      </c>
      <c r="E9" s="105" t="n">
        <v>46.92</v>
      </c>
      <c r="F9" s="105" t="n">
        <v>36.45</v>
      </c>
      <c r="G9" s="103" t="n">
        <v>118.95</v>
      </c>
      <c r="H9" s="103" t="s">
        <v>479</v>
      </c>
    </row>
    <row r="10" customFormat="false" ht="15" hidden="false" customHeight="true" outlineLevel="0" collapsed="false">
      <c r="A10" s="103" t="n">
        <v>7</v>
      </c>
      <c r="B10" s="104" t="s">
        <v>449</v>
      </c>
      <c r="C10" s="105" t="s">
        <v>439</v>
      </c>
      <c r="D10" s="105" t="n">
        <v>54.87</v>
      </c>
      <c r="E10" s="105" t="n">
        <v>39.25</v>
      </c>
      <c r="F10" s="105" t="n">
        <v>14.58</v>
      </c>
      <c r="G10" s="103" t="n">
        <v>108.7</v>
      </c>
      <c r="H10" s="103" t="s">
        <v>479</v>
      </c>
    </row>
    <row r="11" customFormat="false" ht="15" hidden="false" customHeight="true" outlineLevel="0" collapsed="false">
      <c r="A11" s="103" t="n">
        <v>8</v>
      </c>
      <c r="B11" s="104" t="s">
        <v>450</v>
      </c>
      <c r="C11" s="105" t="s">
        <v>439</v>
      </c>
      <c r="D11" s="105" t="n">
        <v>25.17</v>
      </c>
      <c r="E11" s="105" t="n">
        <v>43.5</v>
      </c>
      <c r="F11" s="105" t="n">
        <v>32.58</v>
      </c>
      <c r="G11" s="103" t="n">
        <v>101.25</v>
      </c>
      <c r="H11" s="103" t="s">
        <v>479</v>
      </c>
    </row>
    <row r="12" customFormat="false" ht="15" hidden="false" customHeight="true" outlineLevel="0" collapsed="false">
      <c r="A12" s="103" t="n">
        <v>9</v>
      </c>
      <c r="B12" s="104" t="s">
        <v>480</v>
      </c>
      <c r="C12" s="105" t="s">
        <v>439</v>
      </c>
      <c r="D12" s="105" t="n">
        <v>58.42</v>
      </c>
      <c r="E12" s="105" t="n">
        <v>21.83</v>
      </c>
      <c r="F12" s="105" t="n">
        <v>3.5</v>
      </c>
      <c r="G12" s="103" t="n">
        <v>83.75</v>
      </c>
      <c r="H12" s="103" t="s">
        <v>479</v>
      </c>
    </row>
    <row r="13" customFormat="false" ht="15" hidden="false" customHeight="true" outlineLevel="0" collapsed="false">
      <c r="A13" s="103" t="n">
        <v>10</v>
      </c>
      <c r="B13" s="104" t="s">
        <v>481</v>
      </c>
      <c r="C13" s="105" t="s">
        <v>448</v>
      </c>
      <c r="D13" s="105" t="n">
        <v>32.83</v>
      </c>
      <c r="E13" s="105" t="n">
        <v>26</v>
      </c>
      <c r="F13" s="105" t="n">
        <v>21.17</v>
      </c>
      <c r="G13" s="103" t="n">
        <v>80</v>
      </c>
      <c r="H13" s="103" t="s">
        <v>479</v>
      </c>
    </row>
    <row r="14" customFormat="false" ht="15" hidden="false" customHeight="true" outlineLevel="0" collapsed="false">
      <c r="A14" s="103" t="n">
        <v>11</v>
      </c>
      <c r="B14" s="104" t="s">
        <v>482</v>
      </c>
      <c r="C14" s="105" t="s">
        <v>439</v>
      </c>
      <c r="D14" s="105" t="n">
        <v>37.17</v>
      </c>
      <c r="E14" s="105" t="n">
        <v>27.1</v>
      </c>
      <c r="F14" s="105" t="n">
        <v>14.33</v>
      </c>
      <c r="G14" s="103" t="n">
        <v>78.6</v>
      </c>
      <c r="H14" s="103" t="s">
        <v>479</v>
      </c>
    </row>
    <row r="15" customFormat="false" ht="15" hidden="false" customHeight="true" outlineLevel="0" collapsed="false">
      <c r="A15" s="103" t="n">
        <v>12</v>
      </c>
      <c r="B15" s="104" t="s">
        <v>483</v>
      </c>
      <c r="C15" s="105" t="s">
        <v>439</v>
      </c>
      <c r="D15" s="105" t="n">
        <v>35</v>
      </c>
      <c r="E15" s="105" t="n">
        <v>27.2</v>
      </c>
      <c r="F15" s="105" t="n">
        <v>11.92</v>
      </c>
      <c r="G15" s="103" t="n">
        <v>74.12</v>
      </c>
      <c r="H15" s="103" t="s">
        <v>479</v>
      </c>
    </row>
    <row r="16" customFormat="false" ht="15" hidden="false" customHeight="true" outlineLevel="0" collapsed="false">
      <c r="A16" s="103" t="n">
        <v>13</v>
      </c>
      <c r="B16" s="104" t="s">
        <v>484</v>
      </c>
      <c r="C16" s="105" t="s">
        <v>439</v>
      </c>
      <c r="D16" s="105" t="n">
        <v>18.5</v>
      </c>
      <c r="E16" s="105" t="n">
        <v>42.75</v>
      </c>
      <c r="F16" s="105" t="n">
        <v>10.67</v>
      </c>
      <c r="G16" s="103" t="n">
        <v>71.92</v>
      </c>
      <c r="H16" s="103" t="s">
        <v>479</v>
      </c>
    </row>
    <row r="17" customFormat="false" ht="15" hidden="false" customHeight="true" outlineLevel="0" collapsed="false">
      <c r="A17" s="103" t="n">
        <v>14</v>
      </c>
      <c r="B17" s="104" t="s">
        <v>485</v>
      </c>
      <c r="C17" s="105" t="s">
        <v>439</v>
      </c>
      <c r="D17" s="105" t="n">
        <v>26.25</v>
      </c>
      <c r="E17" s="105" t="n">
        <v>27.42</v>
      </c>
      <c r="F17" s="105" t="n">
        <v>17</v>
      </c>
      <c r="G17" s="103" t="n">
        <v>70.67</v>
      </c>
      <c r="H17" s="103" t="s">
        <v>479</v>
      </c>
    </row>
    <row r="18" customFormat="false" ht="15" hidden="false" customHeight="true" outlineLevel="0" collapsed="false">
      <c r="A18" s="103" t="n">
        <v>15</v>
      </c>
      <c r="B18" s="104" t="s">
        <v>486</v>
      </c>
      <c r="C18" s="105" t="s">
        <v>446</v>
      </c>
      <c r="D18" s="105" t="n">
        <v>34.25</v>
      </c>
      <c r="E18" s="105" t="n">
        <v>23.92</v>
      </c>
      <c r="F18" s="105" t="n">
        <v>9.17</v>
      </c>
      <c r="G18" s="103" t="n">
        <v>67.34</v>
      </c>
      <c r="H18" s="103" t="s">
        <v>479</v>
      </c>
    </row>
    <row r="19" customFormat="false" ht="15" hidden="false" customHeight="true" outlineLevel="0" collapsed="false">
      <c r="A19" s="103" t="n">
        <v>16</v>
      </c>
      <c r="B19" s="104" t="s">
        <v>487</v>
      </c>
      <c r="C19" s="105" t="s">
        <v>439</v>
      </c>
      <c r="D19" s="105" t="n">
        <v>38.5</v>
      </c>
      <c r="E19" s="105" t="n">
        <v>21.17</v>
      </c>
      <c r="F19" s="105" t="n">
        <v>2.67</v>
      </c>
      <c r="G19" s="103" t="n">
        <v>62.34</v>
      </c>
      <c r="H19" s="103" t="s">
        <v>479</v>
      </c>
    </row>
    <row r="20" customFormat="false" ht="15" hidden="false" customHeight="true" outlineLevel="0" collapsed="false">
      <c r="A20" s="103" t="n">
        <v>17</v>
      </c>
      <c r="B20" s="104" t="s">
        <v>488</v>
      </c>
      <c r="C20" s="105" t="s">
        <v>448</v>
      </c>
      <c r="D20" s="105" t="n">
        <v>22.33</v>
      </c>
      <c r="E20" s="105" t="n">
        <v>28.08</v>
      </c>
      <c r="F20" s="105" t="n">
        <v>4.42</v>
      </c>
      <c r="G20" s="103" t="n">
        <v>54.83</v>
      </c>
      <c r="H20" s="103" t="s">
        <v>479</v>
      </c>
    </row>
    <row r="21" customFormat="false" ht="15.75" hidden="false" customHeight="true" outlineLevel="0" collapsed="false">
      <c r="A21" s="103" t="n">
        <v>18</v>
      </c>
      <c r="B21" s="104" t="s">
        <v>489</v>
      </c>
      <c r="C21" s="105" t="s">
        <v>439</v>
      </c>
      <c r="D21" s="105" t="n">
        <v>4</v>
      </c>
      <c r="E21" s="105" t="n">
        <v>30</v>
      </c>
      <c r="F21" s="105" t="n">
        <v>18.67</v>
      </c>
      <c r="G21" s="103" t="n">
        <v>52.67</v>
      </c>
      <c r="H21" s="103" t="s">
        <v>479</v>
      </c>
    </row>
    <row r="22" customFormat="false" ht="15.75" hidden="false" customHeight="true" outlineLevel="0" collapsed="false">
      <c r="A22" s="103" t="n">
        <v>19</v>
      </c>
      <c r="B22" s="104" t="s">
        <v>490</v>
      </c>
      <c r="C22" s="105" t="s">
        <v>439</v>
      </c>
      <c r="D22" s="105" t="n">
        <v>28.67</v>
      </c>
      <c r="E22" s="105" t="n">
        <v>10.18</v>
      </c>
      <c r="F22" s="105" t="n">
        <v>12.42</v>
      </c>
      <c r="G22" s="103" t="n">
        <v>51.27</v>
      </c>
      <c r="H22" s="103" t="s">
        <v>479</v>
      </c>
    </row>
    <row r="23" customFormat="false" ht="15.75" hidden="false" customHeight="true" outlineLevel="0" collapsed="false">
      <c r="A23" s="103" t="n">
        <v>20</v>
      </c>
      <c r="B23" s="104" t="s">
        <v>491</v>
      </c>
      <c r="C23" s="105" t="s">
        <v>442</v>
      </c>
      <c r="D23" s="105" t="n">
        <v>18</v>
      </c>
      <c r="E23" s="105" t="n">
        <v>16.08</v>
      </c>
      <c r="F23" s="105" t="n">
        <v>15.75</v>
      </c>
      <c r="G23" s="103" t="n">
        <v>49.83</v>
      </c>
      <c r="H23" s="103" t="s">
        <v>479</v>
      </c>
    </row>
    <row r="24" customFormat="false" ht="15.75" hidden="false" customHeight="true" outlineLevel="0" collapsed="false">
      <c r="A24" s="103" t="n">
        <v>21</v>
      </c>
      <c r="B24" s="104" t="s">
        <v>492</v>
      </c>
      <c r="C24" s="105" t="s">
        <v>439</v>
      </c>
      <c r="D24" s="105" t="n">
        <v>23.92</v>
      </c>
      <c r="E24" s="105" t="n">
        <v>11.08</v>
      </c>
      <c r="F24" s="105" t="n">
        <v>12.5</v>
      </c>
      <c r="G24" s="103" t="n">
        <v>47.5</v>
      </c>
      <c r="H24" s="103" t="s">
        <v>479</v>
      </c>
    </row>
    <row r="25" customFormat="false" ht="15.75" hidden="false" customHeight="true" outlineLevel="0" collapsed="false">
      <c r="A25" s="103" t="n">
        <v>22</v>
      </c>
      <c r="B25" s="104" t="s">
        <v>493</v>
      </c>
      <c r="C25" s="105" t="s">
        <v>448</v>
      </c>
      <c r="D25" s="105" t="n">
        <v>26.25</v>
      </c>
      <c r="E25" s="105" t="n">
        <v>9.25</v>
      </c>
      <c r="F25" s="105" t="n">
        <v>7.25</v>
      </c>
      <c r="G25" s="103" t="n">
        <v>42.75</v>
      </c>
      <c r="H25" s="103" t="s">
        <v>479</v>
      </c>
    </row>
    <row r="26" customFormat="false" ht="15.75" hidden="false" customHeight="true" outlineLevel="0" collapsed="false">
      <c r="A26" s="103" t="n">
        <v>23</v>
      </c>
      <c r="B26" s="104" t="s">
        <v>494</v>
      </c>
      <c r="C26" s="105" t="s">
        <v>442</v>
      </c>
      <c r="D26" s="105" t="n">
        <v>2.5</v>
      </c>
      <c r="E26" s="105" t="n">
        <v>17.42</v>
      </c>
      <c r="F26" s="105" t="n">
        <v>21.83</v>
      </c>
      <c r="G26" s="103" t="n">
        <v>41.75</v>
      </c>
      <c r="H26" s="103" t="s">
        <v>479</v>
      </c>
    </row>
    <row r="27" customFormat="false" ht="15.75" hidden="false" customHeight="true" outlineLevel="0" collapsed="false">
      <c r="A27" s="103" t="n">
        <v>24</v>
      </c>
      <c r="B27" s="104" t="s">
        <v>495</v>
      </c>
      <c r="C27" s="105" t="s">
        <v>446</v>
      </c>
      <c r="D27" s="105" t="n">
        <v>7.75</v>
      </c>
      <c r="E27" s="105" t="n">
        <v>23.5</v>
      </c>
      <c r="F27" s="105" t="n">
        <v>9.5</v>
      </c>
      <c r="G27" s="103" t="n">
        <v>40.75</v>
      </c>
      <c r="H27" s="103" t="s">
        <v>479</v>
      </c>
    </row>
    <row r="28" customFormat="false" ht="15.75" hidden="false" customHeight="true" outlineLevel="0" collapsed="false">
      <c r="A28" s="103" t="n">
        <v>25</v>
      </c>
      <c r="B28" s="104" t="s">
        <v>496</v>
      </c>
      <c r="C28" s="105" t="s">
        <v>439</v>
      </c>
      <c r="D28" s="105" t="n">
        <v>26.5</v>
      </c>
      <c r="E28" s="105" t="n">
        <v>12.42</v>
      </c>
      <c r="F28" s="105" t="n">
        <v>0.5</v>
      </c>
      <c r="G28" s="103" t="n">
        <v>39.42</v>
      </c>
      <c r="H28" s="103" t="s">
        <v>479</v>
      </c>
    </row>
    <row r="29" customFormat="false" ht="15.75" hidden="false" customHeight="true" outlineLevel="0" collapsed="false">
      <c r="A29" s="103" t="n">
        <v>26</v>
      </c>
      <c r="B29" s="104" t="s">
        <v>497</v>
      </c>
      <c r="C29" s="105" t="s">
        <v>448</v>
      </c>
      <c r="D29" s="105" t="n">
        <v>11.5</v>
      </c>
      <c r="E29" s="105" t="n">
        <v>12.67</v>
      </c>
      <c r="F29" s="105" t="n">
        <v>13.5</v>
      </c>
      <c r="G29" s="103" t="n">
        <v>37.67</v>
      </c>
      <c r="H29" s="103" t="s">
        <v>479</v>
      </c>
    </row>
    <row r="30" customFormat="false" ht="15.75" hidden="false" customHeight="true" outlineLevel="0" collapsed="false">
      <c r="A30" s="103" t="n">
        <v>27</v>
      </c>
      <c r="B30" s="104" t="s">
        <v>498</v>
      </c>
      <c r="C30" s="105" t="s">
        <v>448</v>
      </c>
      <c r="D30" s="105" t="n">
        <v>9.42</v>
      </c>
      <c r="E30" s="105" t="n">
        <v>18.25</v>
      </c>
      <c r="F30" s="105" t="n">
        <v>8.67</v>
      </c>
      <c r="G30" s="103" t="n">
        <v>36.34</v>
      </c>
      <c r="H30" s="103" t="s">
        <v>479</v>
      </c>
    </row>
    <row r="31" customFormat="false" ht="15.75" hidden="false" customHeight="true" outlineLevel="0" collapsed="false">
      <c r="A31" s="103" t="n">
        <v>28</v>
      </c>
      <c r="B31" s="104" t="s">
        <v>499</v>
      </c>
      <c r="C31" s="105" t="s">
        <v>448</v>
      </c>
      <c r="D31" s="105" t="n">
        <v>12.25</v>
      </c>
      <c r="E31" s="105" t="n">
        <v>13.58</v>
      </c>
      <c r="F31" s="105" t="n">
        <v>9.75</v>
      </c>
      <c r="G31" s="103" t="n">
        <v>35.58</v>
      </c>
      <c r="H31" s="103" t="s">
        <v>479</v>
      </c>
    </row>
    <row r="32" customFormat="false" ht="15.75" hidden="false" customHeight="true" outlineLevel="0" collapsed="false">
      <c r="A32" s="103" t="n">
        <v>29</v>
      </c>
      <c r="B32" s="104" t="s">
        <v>500</v>
      </c>
      <c r="C32" s="105" t="s">
        <v>446</v>
      </c>
      <c r="D32" s="105" t="n">
        <v>6.33</v>
      </c>
      <c r="E32" s="105" t="n">
        <v>25.25</v>
      </c>
      <c r="F32" s="105" t="n">
        <v>3.08</v>
      </c>
      <c r="G32" s="103" t="n">
        <v>34.66</v>
      </c>
      <c r="H32" s="103" t="s">
        <v>479</v>
      </c>
    </row>
    <row r="33" customFormat="false" ht="15.75" hidden="false" customHeight="true" outlineLevel="0" collapsed="false">
      <c r="A33" s="103" t="n">
        <v>30</v>
      </c>
      <c r="B33" s="104" t="s">
        <v>501</v>
      </c>
      <c r="C33" s="105" t="s">
        <v>439</v>
      </c>
      <c r="D33" s="105" t="n">
        <v>17</v>
      </c>
      <c r="E33" s="105" t="n">
        <v>6.58</v>
      </c>
      <c r="F33" s="105" t="n">
        <v>10.25</v>
      </c>
      <c r="G33" s="103" t="n">
        <v>33.83</v>
      </c>
      <c r="H33" s="103" t="s">
        <v>479</v>
      </c>
    </row>
    <row r="34" customFormat="false" ht="15.75" hidden="false" customHeight="true" outlineLevel="0" collapsed="false">
      <c r="A34" s="103" t="n">
        <v>31</v>
      </c>
      <c r="B34" s="104" t="s">
        <v>502</v>
      </c>
      <c r="C34" s="105" t="s">
        <v>439</v>
      </c>
      <c r="D34" s="105" t="n">
        <v>9.42</v>
      </c>
      <c r="E34" s="105" t="n">
        <v>4.5</v>
      </c>
      <c r="F34" s="105" t="n">
        <v>18.17</v>
      </c>
      <c r="G34" s="103" t="n">
        <v>32.09</v>
      </c>
      <c r="H34" s="103" t="s">
        <v>479</v>
      </c>
    </row>
    <row r="35" customFormat="false" ht="15.75" hidden="false" customHeight="true" outlineLevel="0" collapsed="false">
      <c r="A35" s="103" t="n">
        <v>32</v>
      </c>
      <c r="B35" s="104" t="s">
        <v>503</v>
      </c>
      <c r="C35" s="105" t="s">
        <v>442</v>
      </c>
      <c r="D35" s="105" t="n">
        <v>28.67</v>
      </c>
      <c r="E35" s="105" t="n">
        <v>0.5</v>
      </c>
      <c r="F35" s="105" t="n">
        <v>1.17</v>
      </c>
      <c r="G35" s="103" t="n">
        <v>30.34</v>
      </c>
      <c r="H35" s="103" t="s">
        <v>479</v>
      </c>
    </row>
    <row r="36" customFormat="false" ht="15.75" hidden="false" customHeight="true" outlineLevel="0" collapsed="false">
      <c r="A36" s="103" t="n">
        <v>33</v>
      </c>
      <c r="B36" s="104" t="s">
        <v>504</v>
      </c>
      <c r="C36" s="105" t="s">
        <v>439</v>
      </c>
      <c r="D36" s="105" t="n">
        <v>10.75</v>
      </c>
      <c r="E36" s="105" t="n">
        <v>7.67</v>
      </c>
      <c r="F36" s="105" t="n">
        <v>7.92</v>
      </c>
      <c r="G36" s="103" t="n">
        <v>26.34</v>
      </c>
      <c r="H36" s="103" t="s">
        <v>479</v>
      </c>
    </row>
    <row r="37" customFormat="false" ht="15.75" hidden="false" customHeight="true" outlineLevel="0" collapsed="false">
      <c r="A37" s="103" t="n">
        <v>34</v>
      </c>
      <c r="B37" s="104" t="s">
        <v>505</v>
      </c>
      <c r="C37" s="105" t="s">
        <v>439</v>
      </c>
      <c r="D37" s="105" t="n">
        <v>12.75</v>
      </c>
      <c r="E37" s="105" t="n">
        <v>7.17</v>
      </c>
      <c r="F37" s="105" t="n">
        <v>3.83</v>
      </c>
      <c r="G37" s="103" t="n">
        <v>23.75</v>
      </c>
      <c r="H37" s="103" t="s">
        <v>479</v>
      </c>
    </row>
    <row r="38" customFormat="false" ht="15.75" hidden="false" customHeight="true" outlineLevel="0" collapsed="false">
      <c r="A38" s="103" t="n">
        <v>35</v>
      </c>
      <c r="B38" s="104" t="s">
        <v>506</v>
      </c>
      <c r="C38" s="105" t="s">
        <v>439</v>
      </c>
      <c r="D38" s="105" t="n">
        <v>13.92</v>
      </c>
      <c r="E38" s="105" t="n">
        <v>2.83</v>
      </c>
      <c r="F38" s="105" t="n">
        <v>6.17</v>
      </c>
      <c r="G38" s="103" t="n">
        <v>22.92</v>
      </c>
      <c r="H38" s="103" t="s">
        <v>479</v>
      </c>
    </row>
    <row r="39" customFormat="false" ht="15.75" hidden="false" customHeight="true" outlineLevel="0" collapsed="false">
      <c r="A39" s="103" t="n">
        <v>36</v>
      </c>
      <c r="B39" s="104" t="s">
        <v>507</v>
      </c>
      <c r="C39" s="105" t="s">
        <v>442</v>
      </c>
      <c r="D39" s="105" t="n">
        <v>11.58</v>
      </c>
      <c r="E39" s="105" t="n">
        <v>8.88</v>
      </c>
      <c r="F39" s="105" t="n">
        <v>2</v>
      </c>
      <c r="G39" s="103" t="n">
        <v>22.46</v>
      </c>
      <c r="H39" s="103" t="s">
        <v>479</v>
      </c>
    </row>
    <row r="40" customFormat="false" ht="15.75" hidden="false" customHeight="true" outlineLevel="0" collapsed="false">
      <c r="A40" s="103" t="n">
        <v>37</v>
      </c>
      <c r="B40" s="104" t="s">
        <v>508</v>
      </c>
      <c r="C40" s="105" t="s">
        <v>439</v>
      </c>
      <c r="D40" s="105" t="n">
        <v>5.08</v>
      </c>
      <c r="E40" s="105" t="n">
        <v>15.67</v>
      </c>
      <c r="F40" s="105" t="n">
        <v>1</v>
      </c>
      <c r="G40" s="103" t="n">
        <v>21.75</v>
      </c>
      <c r="H40" s="103" t="s">
        <v>479</v>
      </c>
    </row>
    <row r="41" customFormat="false" ht="15.75" hidden="false" customHeight="true" outlineLevel="0" collapsed="false">
      <c r="A41" s="103" t="n">
        <v>38</v>
      </c>
      <c r="B41" s="104" t="s">
        <v>509</v>
      </c>
      <c r="C41" s="105" t="s">
        <v>439</v>
      </c>
      <c r="D41" s="105" t="n">
        <v>9.67</v>
      </c>
      <c r="E41" s="105" t="n">
        <v>5</v>
      </c>
      <c r="F41" s="105" t="n">
        <v>4.25</v>
      </c>
      <c r="G41" s="103" t="n">
        <v>18.92</v>
      </c>
      <c r="H41" s="103" t="s">
        <v>479</v>
      </c>
    </row>
    <row r="42" customFormat="false" ht="15.75" hidden="false" customHeight="true" outlineLevel="0" collapsed="false">
      <c r="A42" s="103" t="n">
        <v>39</v>
      </c>
      <c r="B42" s="104" t="s">
        <v>510</v>
      </c>
      <c r="C42" s="105" t="s">
        <v>439</v>
      </c>
      <c r="D42" s="105" t="n">
        <v>7.67</v>
      </c>
      <c r="E42" s="105" t="n">
        <v>6.67</v>
      </c>
      <c r="F42" s="105" t="n">
        <v>2.83</v>
      </c>
      <c r="G42" s="103" t="n">
        <v>17.17</v>
      </c>
      <c r="H42" s="103" t="s">
        <v>479</v>
      </c>
    </row>
    <row r="43" customFormat="false" ht="15.75" hidden="false" customHeight="true" outlineLevel="0" collapsed="false">
      <c r="A43" s="103" t="n">
        <v>40</v>
      </c>
      <c r="B43" s="104" t="s">
        <v>511</v>
      </c>
      <c r="C43" s="105" t="s">
        <v>439</v>
      </c>
      <c r="D43" s="105" t="n">
        <v>7.42</v>
      </c>
      <c r="E43" s="105" t="n">
        <v>4.92</v>
      </c>
      <c r="F43" s="105" t="n">
        <v>2.83</v>
      </c>
      <c r="G43" s="103" t="n">
        <v>15.17</v>
      </c>
      <c r="H43" s="103" t="s">
        <v>479</v>
      </c>
    </row>
    <row r="44" customFormat="false" ht="15.75" hidden="false" customHeight="true" outlineLevel="0" collapsed="false">
      <c r="A44" s="103" t="n">
        <v>41</v>
      </c>
      <c r="B44" s="104" t="s">
        <v>512</v>
      </c>
      <c r="C44" s="105" t="s">
        <v>448</v>
      </c>
      <c r="D44" s="105" t="n">
        <v>8.17</v>
      </c>
      <c r="E44" s="105" t="n">
        <v>5.08</v>
      </c>
      <c r="F44" s="105" t="n">
        <v>0.17</v>
      </c>
      <c r="G44" s="103" t="n">
        <v>13.42</v>
      </c>
      <c r="H44" s="103" t="s">
        <v>479</v>
      </c>
    </row>
    <row r="45" customFormat="false" ht="15.75" hidden="false" customHeight="true" outlineLevel="0" collapsed="false">
      <c r="A45" s="103" t="n">
        <v>42</v>
      </c>
      <c r="B45" s="104" t="s">
        <v>513</v>
      </c>
      <c r="C45" s="105" t="s">
        <v>439</v>
      </c>
      <c r="D45" s="105" t="n">
        <v>2.5</v>
      </c>
      <c r="E45" s="105" t="n">
        <v>5.25</v>
      </c>
      <c r="F45" s="105" t="n">
        <v>0.5</v>
      </c>
      <c r="G45" s="103" t="n">
        <v>8.25</v>
      </c>
      <c r="H45" s="103" t="s">
        <v>479</v>
      </c>
    </row>
    <row r="46" customFormat="false" ht="15.75" hidden="false" customHeight="true" outlineLevel="0" collapsed="false">
      <c r="A46" s="103" t="n">
        <v>43</v>
      </c>
      <c r="B46" s="104" t="s">
        <v>514</v>
      </c>
      <c r="C46" s="105" t="s">
        <v>439</v>
      </c>
      <c r="D46" s="105" t="n">
        <v>0.25</v>
      </c>
      <c r="E46" s="105" t="n">
        <v>0.5</v>
      </c>
      <c r="F46" s="105" t="n">
        <v>4.5</v>
      </c>
      <c r="G46" s="103" t="n">
        <v>5.25</v>
      </c>
      <c r="H46" s="103" t="s">
        <v>479</v>
      </c>
    </row>
    <row r="47" customFormat="false" ht="15.75" hidden="false" customHeight="true" outlineLevel="0" collapsed="false">
      <c r="A47" s="103" t="n">
        <v>44</v>
      </c>
      <c r="B47" s="104" t="s">
        <v>515</v>
      </c>
      <c r="C47" s="105" t="s">
        <v>439</v>
      </c>
      <c r="D47" s="105" t="n">
        <v>4.5</v>
      </c>
      <c r="E47" s="105" t="n">
        <v>0.33</v>
      </c>
      <c r="F47" s="105" t="n">
        <v>0.33</v>
      </c>
      <c r="G47" s="103" t="n">
        <v>5.16</v>
      </c>
      <c r="H47" s="103" t="s">
        <v>479</v>
      </c>
    </row>
    <row r="48" customFormat="false" ht="15.75" hidden="false" customHeight="true" outlineLevel="0" collapsed="false">
      <c r="A48" s="103" t="n">
        <v>45</v>
      </c>
      <c r="B48" s="104" t="s">
        <v>516</v>
      </c>
      <c r="C48" s="105" t="s">
        <v>448</v>
      </c>
      <c r="D48" s="105" t="n">
        <v>2</v>
      </c>
      <c r="E48" s="105" t="n">
        <v>1</v>
      </c>
      <c r="F48" s="105" t="n">
        <v>1.25</v>
      </c>
      <c r="G48" s="103" t="n">
        <v>4.25</v>
      </c>
      <c r="H48" s="103" t="s">
        <v>479</v>
      </c>
    </row>
    <row r="49" customFormat="false" ht="15.75" hidden="false" customHeight="true" outlineLevel="0" collapsed="false">
      <c r="A49" s="103" t="n">
        <v>46</v>
      </c>
      <c r="B49" s="104" t="s">
        <v>517</v>
      </c>
      <c r="C49" s="105" t="s">
        <v>439</v>
      </c>
      <c r="D49" s="105" t="n">
        <v>2</v>
      </c>
      <c r="E49" s="105" t="n">
        <v>1</v>
      </c>
      <c r="F49" s="105" t="n">
        <v>0.75</v>
      </c>
      <c r="G49" s="103" t="n">
        <v>3.75</v>
      </c>
      <c r="H49" s="103" t="s">
        <v>479</v>
      </c>
    </row>
    <row r="50" customFormat="false" ht="15.75" hidden="false" customHeight="true" outlineLevel="0" collapsed="false">
      <c r="A50" s="106" t="n">
        <v>47</v>
      </c>
      <c r="B50" s="107" t="s">
        <v>451</v>
      </c>
      <c r="C50" s="108" t="s">
        <v>442</v>
      </c>
      <c r="D50" s="108" t="n">
        <v>73.17</v>
      </c>
      <c r="E50" s="108" t="n">
        <v>20.7</v>
      </c>
      <c r="F50" s="108" t="n">
        <v>0</v>
      </c>
      <c r="G50" s="106" t="n">
        <v>93.87</v>
      </c>
      <c r="H50" s="106" t="s">
        <v>518</v>
      </c>
    </row>
    <row r="51" customFormat="false" ht="15.75" hidden="false" customHeight="true" outlineLevel="0" collapsed="false">
      <c r="A51" s="106" t="n">
        <v>48</v>
      </c>
      <c r="B51" s="107" t="s">
        <v>453</v>
      </c>
      <c r="C51" s="108" t="s">
        <v>454</v>
      </c>
      <c r="D51" s="108" t="n">
        <v>0</v>
      </c>
      <c r="E51" s="108" t="n">
        <v>49.92</v>
      </c>
      <c r="F51" s="108" t="n">
        <v>37</v>
      </c>
      <c r="G51" s="106" t="n">
        <v>86.92</v>
      </c>
      <c r="H51" s="106" t="s">
        <v>518</v>
      </c>
    </row>
    <row r="52" customFormat="false" ht="15.75" hidden="false" customHeight="true" outlineLevel="0" collapsed="false">
      <c r="A52" s="106" t="n">
        <v>49</v>
      </c>
      <c r="B52" s="107" t="s">
        <v>519</v>
      </c>
      <c r="C52" s="108" t="s">
        <v>448</v>
      </c>
      <c r="D52" s="108" t="n">
        <v>40.25</v>
      </c>
      <c r="E52" s="108" t="n">
        <v>30.55</v>
      </c>
      <c r="F52" s="108" t="n">
        <v>0</v>
      </c>
      <c r="G52" s="106" t="n">
        <v>70.8</v>
      </c>
      <c r="H52" s="106" t="s">
        <v>518</v>
      </c>
    </row>
    <row r="53" customFormat="false" ht="15.75" hidden="false" customHeight="true" outlineLevel="0" collapsed="false">
      <c r="A53" s="106" t="n">
        <v>50</v>
      </c>
      <c r="B53" s="107" t="s">
        <v>520</v>
      </c>
      <c r="C53" s="108" t="s">
        <v>439</v>
      </c>
      <c r="D53" s="108" t="n">
        <v>0</v>
      </c>
      <c r="E53" s="108" t="n">
        <v>25.83</v>
      </c>
      <c r="F53" s="108" t="n">
        <v>26.5</v>
      </c>
      <c r="G53" s="106" t="n">
        <v>52.33</v>
      </c>
      <c r="H53" s="106" t="s">
        <v>518</v>
      </c>
    </row>
    <row r="54" customFormat="false" ht="15.75" hidden="false" customHeight="true" outlineLevel="0" collapsed="false">
      <c r="A54" s="106" t="n">
        <v>51</v>
      </c>
      <c r="B54" s="107" t="s">
        <v>521</v>
      </c>
      <c r="C54" s="108" t="s">
        <v>439</v>
      </c>
      <c r="D54" s="108" t="n">
        <v>0</v>
      </c>
      <c r="E54" s="108" t="n">
        <v>24.92</v>
      </c>
      <c r="F54" s="108" t="n">
        <v>18.42</v>
      </c>
      <c r="G54" s="106" t="n">
        <v>43.34</v>
      </c>
      <c r="H54" s="106" t="s">
        <v>518</v>
      </c>
    </row>
    <row r="55" customFormat="false" ht="15.75" hidden="false" customHeight="true" outlineLevel="0" collapsed="false">
      <c r="A55" s="106" t="n">
        <v>52</v>
      </c>
      <c r="B55" s="107" t="s">
        <v>522</v>
      </c>
      <c r="C55" s="108" t="s">
        <v>439</v>
      </c>
      <c r="D55" s="108" t="n">
        <v>0</v>
      </c>
      <c r="E55" s="108" t="n">
        <v>17.17</v>
      </c>
      <c r="F55" s="108" t="n">
        <v>20.25</v>
      </c>
      <c r="G55" s="106" t="n">
        <v>37.42</v>
      </c>
      <c r="H55" s="106" t="s">
        <v>518</v>
      </c>
    </row>
    <row r="56" customFormat="false" ht="15.75" hidden="false" customHeight="true" outlineLevel="0" collapsed="false">
      <c r="A56" s="106" t="n">
        <v>53</v>
      </c>
      <c r="B56" s="107" t="s">
        <v>523</v>
      </c>
      <c r="C56" s="108" t="s">
        <v>446</v>
      </c>
      <c r="D56" s="108" t="n">
        <v>9.1</v>
      </c>
      <c r="E56" s="108" t="n">
        <v>27.33</v>
      </c>
      <c r="F56" s="108" t="n">
        <v>0</v>
      </c>
      <c r="G56" s="106" t="n">
        <v>36.43</v>
      </c>
      <c r="H56" s="106" t="s">
        <v>518</v>
      </c>
    </row>
    <row r="57" customFormat="false" ht="15.75" hidden="false" customHeight="true" outlineLevel="0" collapsed="false">
      <c r="A57" s="106" t="n">
        <v>54</v>
      </c>
      <c r="B57" s="107" t="s">
        <v>524</v>
      </c>
      <c r="C57" s="108" t="s">
        <v>439</v>
      </c>
      <c r="D57" s="108" t="n">
        <v>0</v>
      </c>
      <c r="E57" s="108" t="n">
        <v>12.67</v>
      </c>
      <c r="F57" s="108" t="n">
        <v>19.83</v>
      </c>
      <c r="G57" s="106" t="n">
        <v>32.5</v>
      </c>
      <c r="H57" s="106" t="s">
        <v>518</v>
      </c>
    </row>
    <row r="58" customFormat="false" ht="15.75" hidden="false" customHeight="true" outlineLevel="0" collapsed="false">
      <c r="A58" s="106" t="n">
        <v>55</v>
      </c>
      <c r="B58" s="107" t="s">
        <v>525</v>
      </c>
      <c r="C58" s="108" t="s">
        <v>439</v>
      </c>
      <c r="D58" s="108" t="n">
        <v>27.17</v>
      </c>
      <c r="E58" s="108" t="n">
        <v>0.42</v>
      </c>
      <c r="F58" s="108" t="n">
        <v>0</v>
      </c>
      <c r="G58" s="106" t="n">
        <v>27.59</v>
      </c>
      <c r="H58" s="106" t="s">
        <v>518</v>
      </c>
    </row>
    <row r="59" customFormat="false" ht="15.75" hidden="false" customHeight="true" outlineLevel="0" collapsed="false">
      <c r="A59" s="106" t="n">
        <v>56</v>
      </c>
      <c r="B59" s="107" t="s">
        <v>526</v>
      </c>
      <c r="C59" s="108" t="s">
        <v>442</v>
      </c>
      <c r="D59" s="108" t="n">
        <v>4.83</v>
      </c>
      <c r="E59" s="108" t="n">
        <v>20</v>
      </c>
      <c r="F59" s="108" t="n">
        <v>0</v>
      </c>
      <c r="G59" s="106" t="n">
        <v>24.83</v>
      </c>
      <c r="H59" s="106" t="s">
        <v>518</v>
      </c>
    </row>
    <row r="60" customFormat="false" ht="15.75" hidden="false" customHeight="true" outlineLevel="0" collapsed="false">
      <c r="A60" s="106" t="n">
        <v>57</v>
      </c>
      <c r="B60" s="107" t="s">
        <v>527</v>
      </c>
      <c r="C60" s="108" t="s">
        <v>454</v>
      </c>
      <c r="D60" s="108" t="n">
        <v>15.5</v>
      </c>
      <c r="E60" s="108" t="n">
        <v>8.42</v>
      </c>
      <c r="F60" s="108" t="n">
        <v>0</v>
      </c>
      <c r="G60" s="106" t="n">
        <v>23.92</v>
      </c>
      <c r="H60" s="106" t="s">
        <v>518</v>
      </c>
    </row>
    <row r="61" customFormat="false" ht="15.75" hidden="false" customHeight="true" outlineLevel="0" collapsed="false">
      <c r="A61" s="106" t="n">
        <v>58</v>
      </c>
      <c r="B61" s="107" t="s">
        <v>528</v>
      </c>
      <c r="C61" s="108" t="s">
        <v>439</v>
      </c>
      <c r="D61" s="108" t="n">
        <v>6</v>
      </c>
      <c r="E61" s="108" t="n">
        <v>15.83</v>
      </c>
      <c r="F61" s="108" t="n">
        <v>0</v>
      </c>
      <c r="G61" s="106" t="n">
        <v>21.83</v>
      </c>
      <c r="H61" s="106" t="s">
        <v>518</v>
      </c>
    </row>
    <row r="62" customFormat="false" ht="15.75" hidden="false" customHeight="true" outlineLevel="0" collapsed="false">
      <c r="A62" s="106" t="n">
        <v>59</v>
      </c>
      <c r="B62" s="107" t="s">
        <v>529</v>
      </c>
      <c r="C62" s="108" t="s">
        <v>442</v>
      </c>
      <c r="D62" s="108" t="n">
        <v>0</v>
      </c>
      <c r="E62" s="108" t="n">
        <v>13.17</v>
      </c>
      <c r="F62" s="108" t="n">
        <v>8.5</v>
      </c>
      <c r="G62" s="106" t="n">
        <v>21.67</v>
      </c>
      <c r="H62" s="106" t="s">
        <v>518</v>
      </c>
    </row>
    <row r="63" customFormat="false" ht="15.75" hidden="false" customHeight="true" outlineLevel="0" collapsed="false">
      <c r="A63" s="106" t="n">
        <v>60</v>
      </c>
      <c r="B63" s="107" t="s">
        <v>530</v>
      </c>
      <c r="C63" s="108" t="s">
        <v>442</v>
      </c>
      <c r="D63" s="108" t="n">
        <v>4.58</v>
      </c>
      <c r="E63" s="108" t="n">
        <v>12.08</v>
      </c>
      <c r="F63" s="108" t="n">
        <v>0</v>
      </c>
      <c r="G63" s="106" t="n">
        <v>16.66</v>
      </c>
      <c r="H63" s="106" t="s">
        <v>518</v>
      </c>
    </row>
    <row r="64" customFormat="false" ht="15.75" hidden="false" customHeight="true" outlineLevel="0" collapsed="false">
      <c r="A64" s="106" t="n">
        <v>61</v>
      </c>
      <c r="B64" s="107" t="s">
        <v>531</v>
      </c>
      <c r="C64" s="108" t="s">
        <v>442</v>
      </c>
      <c r="D64" s="108" t="n">
        <v>0.08</v>
      </c>
      <c r="E64" s="108" t="n">
        <v>8.83</v>
      </c>
      <c r="F64" s="108" t="n">
        <v>0</v>
      </c>
      <c r="G64" s="106" t="n">
        <v>8.91</v>
      </c>
      <c r="H64" s="106" t="s">
        <v>518</v>
      </c>
    </row>
    <row r="65" customFormat="false" ht="15.75" hidden="false" customHeight="true" outlineLevel="0" collapsed="false">
      <c r="A65" s="106" t="n">
        <v>62</v>
      </c>
      <c r="B65" s="107" t="s">
        <v>532</v>
      </c>
      <c r="C65" s="108" t="s">
        <v>439</v>
      </c>
      <c r="D65" s="108" t="n">
        <v>4.83</v>
      </c>
      <c r="E65" s="108" t="n">
        <v>3.75</v>
      </c>
      <c r="F65" s="108" t="n">
        <v>0</v>
      </c>
      <c r="G65" s="106" t="n">
        <v>8.58</v>
      </c>
      <c r="H65" s="106" t="s">
        <v>518</v>
      </c>
    </row>
    <row r="66" customFormat="false" ht="15.75" hidden="false" customHeight="true" outlineLevel="0" collapsed="false">
      <c r="A66" s="106" t="n">
        <v>63</v>
      </c>
      <c r="B66" s="107" t="s">
        <v>533</v>
      </c>
      <c r="C66" s="108" t="s">
        <v>439</v>
      </c>
      <c r="D66" s="108" t="n">
        <v>6.08</v>
      </c>
      <c r="E66" s="108" t="n">
        <v>2.17</v>
      </c>
      <c r="F66" s="108" t="n">
        <v>0</v>
      </c>
      <c r="G66" s="106" t="n">
        <v>8.25</v>
      </c>
      <c r="H66" s="106" t="s">
        <v>518</v>
      </c>
    </row>
    <row r="67" customFormat="false" ht="15.75" hidden="false" customHeight="true" outlineLevel="0" collapsed="false">
      <c r="A67" s="106" t="n">
        <v>64</v>
      </c>
      <c r="B67" s="107" t="s">
        <v>534</v>
      </c>
      <c r="C67" s="108" t="s">
        <v>439</v>
      </c>
      <c r="D67" s="108" t="n">
        <v>4.25</v>
      </c>
      <c r="E67" s="108" t="n">
        <v>3</v>
      </c>
      <c r="F67" s="108" t="n">
        <v>0</v>
      </c>
      <c r="G67" s="106" t="n">
        <v>7.25</v>
      </c>
      <c r="H67" s="106" t="s">
        <v>518</v>
      </c>
    </row>
    <row r="68" customFormat="false" ht="15.75" hidden="false" customHeight="true" outlineLevel="0" collapsed="false">
      <c r="A68" s="106" t="n">
        <v>65</v>
      </c>
      <c r="B68" s="107" t="s">
        <v>535</v>
      </c>
      <c r="C68" s="108" t="s">
        <v>439</v>
      </c>
      <c r="D68" s="108" t="n">
        <v>2.17</v>
      </c>
      <c r="E68" s="108" t="n">
        <v>3.08</v>
      </c>
      <c r="F68" s="108" t="n">
        <v>0</v>
      </c>
      <c r="G68" s="106" t="n">
        <v>5.25</v>
      </c>
      <c r="H68" s="106" t="s">
        <v>518</v>
      </c>
    </row>
    <row r="69" customFormat="false" ht="15.75" hidden="false" customHeight="true" outlineLevel="0" collapsed="false">
      <c r="A69" s="106" t="n">
        <v>66</v>
      </c>
      <c r="B69" s="107" t="s">
        <v>536</v>
      </c>
      <c r="C69" s="108" t="s">
        <v>439</v>
      </c>
      <c r="D69" s="108" t="n">
        <v>2</v>
      </c>
      <c r="E69" s="108" t="n">
        <v>2.33</v>
      </c>
      <c r="F69" s="108" t="n">
        <v>0</v>
      </c>
      <c r="G69" s="106" t="n">
        <v>4.33</v>
      </c>
      <c r="H69" s="106" t="s">
        <v>518</v>
      </c>
    </row>
    <row r="70" customFormat="false" ht="15.75" hidden="false" customHeight="true" outlineLevel="0" collapsed="false">
      <c r="A70" s="106" t="n">
        <v>67</v>
      </c>
      <c r="B70" s="107" t="s">
        <v>537</v>
      </c>
      <c r="C70" s="108" t="s">
        <v>439</v>
      </c>
      <c r="D70" s="108" t="n">
        <v>2</v>
      </c>
      <c r="E70" s="108" t="n">
        <v>1.17</v>
      </c>
      <c r="F70" s="108" t="n">
        <v>0</v>
      </c>
      <c r="G70" s="106" t="n">
        <v>3.17</v>
      </c>
      <c r="H70" s="106" t="s">
        <v>518</v>
      </c>
    </row>
    <row r="71" customFormat="false" ht="15.75" hidden="false" customHeight="true" outlineLevel="0" collapsed="false">
      <c r="A71" s="106" t="n">
        <v>68</v>
      </c>
      <c r="B71" s="107" t="s">
        <v>471</v>
      </c>
      <c r="C71" s="108" t="s">
        <v>439</v>
      </c>
      <c r="D71" s="108" t="n">
        <v>2</v>
      </c>
      <c r="E71" s="108" t="n">
        <v>1</v>
      </c>
      <c r="F71" s="108" t="n">
        <v>0</v>
      </c>
      <c r="G71" s="106" t="n">
        <v>3</v>
      </c>
      <c r="H71" s="106" t="s">
        <v>518</v>
      </c>
    </row>
    <row r="72" customFormat="false" ht="15.75" hidden="false" customHeight="true" outlineLevel="0" collapsed="false">
      <c r="A72" s="99" t="n">
        <v>69</v>
      </c>
      <c r="B72" s="100" t="s">
        <v>538</v>
      </c>
      <c r="C72" s="101" t="s">
        <v>448</v>
      </c>
      <c r="D72" s="101" t="n">
        <v>22.83</v>
      </c>
      <c r="E72" s="101" t="n">
        <v>0</v>
      </c>
      <c r="F72" s="101" t="n">
        <v>0</v>
      </c>
      <c r="G72" s="99" t="n">
        <v>22.83</v>
      </c>
      <c r="H72" s="99" t="s">
        <v>539</v>
      </c>
    </row>
    <row r="73" customFormat="false" ht="15.75" hidden="false" customHeight="true" outlineLevel="0" collapsed="false">
      <c r="A73" s="99" t="n">
        <v>70</v>
      </c>
      <c r="B73" s="100" t="s">
        <v>540</v>
      </c>
      <c r="C73" s="101" t="s">
        <v>448</v>
      </c>
      <c r="D73" s="101" t="n">
        <v>0</v>
      </c>
      <c r="E73" s="101" t="n">
        <v>0</v>
      </c>
      <c r="F73" s="101" t="n">
        <v>13.58</v>
      </c>
      <c r="G73" s="99" t="n">
        <v>13.58</v>
      </c>
      <c r="H73" s="99" t="s">
        <v>539</v>
      </c>
    </row>
    <row r="74" customFormat="false" ht="15.75" hidden="false" customHeight="true" outlineLevel="0" collapsed="false">
      <c r="A74" s="99" t="n">
        <v>71</v>
      </c>
      <c r="B74" s="100" t="s">
        <v>541</v>
      </c>
      <c r="C74" s="101" t="s">
        <v>442</v>
      </c>
      <c r="D74" s="101" t="n">
        <v>8.5</v>
      </c>
      <c r="E74" s="101" t="n">
        <v>0</v>
      </c>
      <c r="F74" s="101" t="n">
        <v>0</v>
      </c>
      <c r="G74" s="99" t="n">
        <v>8.5</v>
      </c>
      <c r="H74" s="99" t="s">
        <v>539</v>
      </c>
    </row>
    <row r="75" customFormat="false" ht="15.75" hidden="false" customHeight="true" outlineLevel="0" collapsed="false">
      <c r="A75" s="99" t="n">
        <v>72</v>
      </c>
      <c r="B75" s="100" t="s">
        <v>542</v>
      </c>
      <c r="C75" s="101" t="s">
        <v>446</v>
      </c>
      <c r="D75" s="101" t="n">
        <v>6.33</v>
      </c>
      <c r="E75" s="101" t="n">
        <v>0</v>
      </c>
      <c r="F75" s="101" t="n">
        <v>0</v>
      </c>
      <c r="G75" s="99" t="n">
        <v>6.33</v>
      </c>
      <c r="H75" s="99" t="s">
        <v>539</v>
      </c>
    </row>
    <row r="76" customFormat="false" ht="15.75" hidden="false" customHeight="true" outlineLevel="0" collapsed="false">
      <c r="A76" s="99" t="n">
        <v>73</v>
      </c>
      <c r="B76" s="100" t="s">
        <v>543</v>
      </c>
      <c r="C76" s="101" t="s">
        <v>439</v>
      </c>
      <c r="D76" s="101" t="n">
        <v>0</v>
      </c>
      <c r="E76" s="101" t="n">
        <v>0</v>
      </c>
      <c r="F76" s="101" t="n">
        <v>5.17</v>
      </c>
      <c r="G76" s="99" t="n">
        <v>5.17</v>
      </c>
      <c r="H76" s="99" t="s">
        <v>539</v>
      </c>
    </row>
    <row r="77" customFormat="false" ht="15.75" hidden="false" customHeight="true" outlineLevel="0" collapsed="false">
      <c r="A77" s="99" t="n">
        <v>74</v>
      </c>
      <c r="B77" s="100" t="s">
        <v>544</v>
      </c>
      <c r="C77" s="101" t="s">
        <v>439</v>
      </c>
      <c r="D77" s="101" t="n">
        <v>0</v>
      </c>
      <c r="E77" s="101" t="n">
        <v>4.92</v>
      </c>
      <c r="F77" s="101" t="n">
        <v>0</v>
      </c>
      <c r="G77" s="99" t="n">
        <v>4.92</v>
      </c>
      <c r="H77" s="99" t="s">
        <v>539</v>
      </c>
    </row>
    <row r="78" customFormat="false" ht="15.75" hidden="false" customHeight="true" outlineLevel="0" collapsed="false">
      <c r="A78" s="99" t="n">
        <v>75</v>
      </c>
      <c r="B78" s="100" t="s">
        <v>545</v>
      </c>
      <c r="C78" s="101" t="s">
        <v>442</v>
      </c>
      <c r="D78" s="101" t="n">
        <v>0</v>
      </c>
      <c r="E78" s="101" t="n">
        <v>4</v>
      </c>
      <c r="F78" s="101" t="n">
        <v>0</v>
      </c>
      <c r="G78" s="99" t="n">
        <v>4</v>
      </c>
      <c r="H78" s="99" t="s">
        <v>539</v>
      </c>
    </row>
    <row r="79" customFormat="false" ht="15.75" hidden="false" customHeight="true" outlineLevel="0" collapsed="false">
      <c r="A79" s="99" t="n">
        <v>76</v>
      </c>
      <c r="B79" s="100" t="s">
        <v>470</v>
      </c>
      <c r="C79" s="101" t="s">
        <v>439</v>
      </c>
      <c r="D79" s="101" t="n">
        <v>2.5</v>
      </c>
      <c r="E79" s="101" t="n">
        <v>0</v>
      </c>
      <c r="F79" s="101" t="n">
        <v>0</v>
      </c>
      <c r="G79" s="99" t="n">
        <v>2.5</v>
      </c>
      <c r="H79" s="99" t="s">
        <v>539</v>
      </c>
    </row>
    <row r="80" customFormat="false" ht="15.75" hidden="false" customHeight="true" outlineLevel="0" collapsed="false">
      <c r="A80" s="99" t="n">
        <v>77</v>
      </c>
      <c r="B80" s="100" t="s">
        <v>469</v>
      </c>
      <c r="C80" s="101" t="s">
        <v>439</v>
      </c>
      <c r="D80" s="101" t="n">
        <v>0</v>
      </c>
      <c r="E80" s="101" t="n">
        <v>2.17</v>
      </c>
      <c r="F80" s="101" t="n">
        <v>0</v>
      </c>
      <c r="G80" s="99" t="n">
        <v>2.17</v>
      </c>
      <c r="H80" s="99" t="s">
        <v>539</v>
      </c>
    </row>
    <row r="81" customFormat="false" ht="15.75" hidden="false" customHeight="true" outlineLevel="0" collapsed="false">
      <c r="A81" s="99" t="n">
        <v>78</v>
      </c>
      <c r="B81" s="100" t="s">
        <v>468</v>
      </c>
      <c r="C81" s="101" t="s">
        <v>448</v>
      </c>
      <c r="D81" s="101" t="n">
        <v>2</v>
      </c>
      <c r="E81" s="101" t="n">
        <v>0</v>
      </c>
      <c r="F81" s="101" t="n">
        <v>0</v>
      </c>
      <c r="G81" s="99" t="n">
        <v>2</v>
      </c>
      <c r="H81" s="99" t="s">
        <v>539</v>
      </c>
    </row>
    <row r="82" customFormat="false" ht="15.75" hidden="false" customHeight="true" outlineLevel="0" collapsed="false">
      <c r="A82" s="99" t="n">
        <v>79</v>
      </c>
      <c r="B82" s="100" t="s">
        <v>467</v>
      </c>
      <c r="C82" s="101" t="s">
        <v>439</v>
      </c>
      <c r="D82" s="101" t="n">
        <v>1.83</v>
      </c>
      <c r="E82" s="101" t="n">
        <v>0</v>
      </c>
      <c r="F82" s="101" t="n">
        <v>0</v>
      </c>
      <c r="G82" s="99" t="n">
        <v>1.83</v>
      </c>
      <c r="H82" s="99" t="s">
        <v>539</v>
      </c>
    </row>
    <row r="83" customFormat="false" ht="15.75" hidden="false" customHeight="true" outlineLevel="0" collapsed="false">
      <c r="A83" s="99" t="n">
        <v>80</v>
      </c>
      <c r="B83" s="100" t="s">
        <v>465</v>
      </c>
      <c r="C83" s="101" t="s">
        <v>446</v>
      </c>
      <c r="D83" s="101" t="n">
        <v>1</v>
      </c>
      <c r="E83" s="101" t="n">
        <v>0</v>
      </c>
      <c r="F83" s="101" t="n">
        <v>0</v>
      </c>
      <c r="G83" s="99" t="n">
        <v>1</v>
      </c>
      <c r="H83" s="99" t="s">
        <v>539</v>
      </c>
    </row>
    <row r="84" customFormat="false" ht="15.75" hidden="false" customHeight="true" outlineLevel="0" collapsed="false">
      <c r="A84" s="99" t="n">
        <v>81</v>
      </c>
      <c r="B84" s="100" t="s">
        <v>466</v>
      </c>
      <c r="C84" s="101" t="s">
        <v>439</v>
      </c>
      <c r="D84" s="101" t="n">
        <v>1</v>
      </c>
      <c r="E84" s="101" t="n">
        <v>0</v>
      </c>
      <c r="F84" s="101" t="n">
        <v>0</v>
      </c>
      <c r="G84" s="99" t="n">
        <v>1</v>
      </c>
      <c r="H84" s="99" t="s">
        <v>539</v>
      </c>
    </row>
    <row r="85" customFormat="false" ht="15.75" hidden="false" customHeight="true" outlineLevel="0" collapsed="false">
      <c r="A85" s="99" t="n">
        <v>82</v>
      </c>
      <c r="B85" s="100" t="s">
        <v>464</v>
      </c>
      <c r="C85" s="101" t="s">
        <v>448</v>
      </c>
      <c r="D85" s="101" t="n">
        <v>0.92</v>
      </c>
      <c r="E85" s="101" t="n">
        <v>0</v>
      </c>
      <c r="F85" s="101" t="n">
        <v>0</v>
      </c>
      <c r="G85" s="99" t="n">
        <v>0.92</v>
      </c>
      <c r="H85" s="99" t="s">
        <v>539</v>
      </c>
    </row>
    <row r="86" customFormat="false" ht="15.75" hidden="false" customHeight="true" outlineLevel="0" collapsed="false">
      <c r="A86" s="99" t="n">
        <v>83</v>
      </c>
      <c r="B86" s="100" t="s">
        <v>462</v>
      </c>
      <c r="C86" s="101" t="s">
        <v>439</v>
      </c>
      <c r="D86" s="101" t="n">
        <v>0.5</v>
      </c>
      <c r="E86" s="101" t="n">
        <v>0</v>
      </c>
      <c r="F86" s="101" t="n">
        <v>0</v>
      </c>
      <c r="G86" s="99" t="n">
        <v>0.5</v>
      </c>
      <c r="H86" s="99" t="s">
        <v>539</v>
      </c>
    </row>
    <row r="87" customFormat="false" ht="15.75" hidden="false" customHeight="true" outlineLevel="0" collapsed="false">
      <c r="A87" s="99" t="n">
        <v>84</v>
      </c>
      <c r="B87" s="100" t="s">
        <v>463</v>
      </c>
      <c r="C87" s="101" t="s">
        <v>439</v>
      </c>
      <c r="D87" s="101" t="n">
        <v>0</v>
      </c>
      <c r="E87" s="101" t="n">
        <v>0</v>
      </c>
      <c r="F87" s="101" t="n">
        <v>0.5</v>
      </c>
      <c r="G87" s="99" t="n">
        <v>0.5</v>
      </c>
      <c r="H87" s="99" t="s">
        <v>539</v>
      </c>
    </row>
    <row r="88" customFormat="false" ht="15.75" hidden="false" customHeight="true" outlineLevel="0" collapsed="false"/>
    <row r="89" customFormat="false" ht="15.75" hidden="false" customHeight="true" outlineLevel="0" collapsed="false">
      <c r="A89" s="45" t="s">
        <v>159</v>
      </c>
      <c r="B89" s="45"/>
      <c r="C89" s="45"/>
      <c r="D89" s="45"/>
      <c r="E89" s="45"/>
      <c r="F89" s="45"/>
      <c r="G89" s="45"/>
      <c r="H89" s="45"/>
    </row>
    <row r="90" customFormat="false" ht="15.75" hidden="false" customHeight="true" outlineLevel="0" collapsed="false">
      <c r="A90" s="46" t="s">
        <v>546</v>
      </c>
      <c r="B90" s="46"/>
      <c r="C90" s="46"/>
      <c r="D90" s="46"/>
      <c r="E90" s="46"/>
      <c r="F90" s="46"/>
      <c r="G90" s="46"/>
      <c r="H90" s="46"/>
    </row>
    <row r="91" customFormat="false" ht="15.75" hidden="false" customHeight="true" outlineLevel="0" collapsed="false">
      <c r="A91" s="46" t="s">
        <v>547</v>
      </c>
      <c r="B91" s="46"/>
      <c r="C91" s="46"/>
      <c r="D91" s="46"/>
      <c r="E91" s="46"/>
      <c r="F91" s="46"/>
      <c r="G91" s="46"/>
      <c r="H91" s="46"/>
    </row>
    <row r="92" customFormat="false" ht="15.75" hidden="false" customHeight="true" outlineLevel="0" collapsed="false">
      <c r="A92" s="46" t="s">
        <v>548</v>
      </c>
      <c r="B92" s="46"/>
      <c r="C92" s="46"/>
      <c r="D92" s="46"/>
      <c r="E92" s="46"/>
      <c r="F92" s="46"/>
      <c r="G92" s="46"/>
      <c r="H92" s="46"/>
    </row>
    <row r="93" customFormat="false" ht="15.75" hidden="false" customHeight="true" outlineLevel="0" collapsed="false">
      <c r="A93" s="46" t="s">
        <v>549</v>
      </c>
      <c r="B93" s="46"/>
      <c r="C93" s="46"/>
      <c r="D93" s="46"/>
      <c r="E93" s="46"/>
      <c r="F93" s="46"/>
      <c r="G93" s="46"/>
      <c r="H93" s="46"/>
    </row>
    <row r="94" customFormat="false" ht="15.75" hidden="false" customHeight="true" outlineLevel="0" collapsed="false">
      <c r="A94" s="46" t="s">
        <v>550</v>
      </c>
      <c r="B94" s="46"/>
      <c r="C94" s="46"/>
      <c r="D94" s="46"/>
      <c r="E94" s="46"/>
      <c r="F94" s="46"/>
      <c r="G94" s="46"/>
      <c r="H94" s="46"/>
    </row>
    <row r="95" customFormat="false" ht="15.75" hidden="false" customHeight="true" outlineLevel="0" collapsed="false">
      <c r="A95" s="46" t="s">
        <v>551</v>
      </c>
      <c r="B95" s="46"/>
      <c r="C95" s="46"/>
      <c r="D95" s="46"/>
      <c r="E95" s="46"/>
      <c r="F95" s="46"/>
      <c r="G95" s="46"/>
      <c r="H95" s="46"/>
    </row>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3:H87"/>
  <mergeCells count="9">
    <mergeCell ref="A1:H1"/>
    <mergeCell ref="A2:H2"/>
    <mergeCell ref="A89:H89"/>
    <mergeCell ref="A90:H90"/>
    <mergeCell ref="A91:H91"/>
    <mergeCell ref="A92:H92"/>
    <mergeCell ref="A93:H93"/>
    <mergeCell ref="A94:H94"/>
    <mergeCell ref="A95:H9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14"/>
    <col collapsed="false" customWidth="true" hidden="false" outlineLevel="0" max="2" min="2" style="1" width="18"/>
    <col collapsed="false" customWidth="true" hidden="false" outlineLevel="0" max="3" min="3" style="1" width="16"/>
    <col collapsed="false" customWidth="true" hidden="false" outlineLevel="0" max="4" min="4" style="1" width="20"/>
    <col collapsed="false" customWidth="true" hidden="false" outlineLevel="0" max="5" min="5" style="1" width="24"/>
    <col collapsed="false" customWidth="true" hidden="false" outlineLevel="0" max="26" min="6" style="1" width="8.71"/>
  </cols>
  <sheetData>
    <row r="1" customFormat="false" ht="39.75" hidden="false" customHeight="true" outlineLevel="0" collapsed="false">
      <c r="A1" s="6" t="s">
        <v>552</v>
      </c>
      <c r="B1" s="6"/>
      <c r="C1" s="6"/>
      <c r="D1" s="6"/>
      <c r="E1" s="6"/>
    </row>
    <row r="2" customFormat="false" ht="19.5" hidden="false" customHeight="true" outlineLevel="0" collapsed="false">
      <c r="A2" s="20" t="s">
        <v>430</v>
      </c>
      <c r="B2" s="20"/>
      <c r="C2" s="20"/>
      <c r="D2" s="20"/>
      <c r="E2" s="20"/>
    </row>
    <row r="3" customFormat="false" ht="30" hidden="false" customHeight="true" outlineLevel="0" collapsed="false">
      <c r="A3" s="109" t="s">
        <v>553</v>
      </c>
      <c r="B3" s="109" t="s">
        <v>554</v>
      </c>
      <c r="C3" s="109" t="s">
        <v>555</v>
      </c>
      <c r="D3" s="109" t="s">
        <v>556</v>
      </c>
      <c r="E3" s="109" t="s">
        <v>557</v>
      </c>
    </row>
    <row r="4" customFormat="false" ht="15" hidden="false" customHeight="true" outlineLevel="0" collapsed="false">
      <c r="A4" s="110" t="s">
        <v>558</v>
      </c>
      <c r="B4" s="92" t="n">
        <v>72</v>
      </c>
      <c r="C4" s="94" t="n">
        <v>1546.25</v>
      </c>
      <c r="D4" s="26" t="n">
        <f aca="false">C4/(C4+C5+C6)</f>
        <v>0.422983493727398</v>
      </c>
      <c r="E4" s="94" t="s">
        <v>68</v>
      </c>
    </row>
    <row r="5" customFormat="false" ht="15" hidden="false" customHeight="true" outlineLevel="0" collapsed="false">
      <c r="A5" s="111" t="s">
        <v>559</v>
      </c>
      <c r="B5" s="95" t="n">
        <v>71</v>
      </c>
      <c r="C5" s="97" t="n">
        <v>1470.03</v>
      </c>
      <c r="D5" s="31" t="n">
        <f aca="false">C5/(C4+C5+C6)</f>
        <v>0.402133177224955</v>
      </c>
      <c r="E5" s="31" t="n">
        <f aca="false">(C5-C4)/C4</f>
        <v>-0.0492934518997575</v>
      </c>
    </row>
    <row r="6" customFormat="false" ht="15" hidden="false" customHeight="true" outlineLevel="0" collapsed="false">
      <c r="A6" s="110" t="s">
        <v>560</v>
      </c>
      <c r="B6" s="92" t="n">
        <v>55</v>
      </c>
      <c r="C6" s="94" t="n">
        <v>639.3</v>
      </c>
      <c r="D6" s="26" t="n">
        <f aca="false">C6/(C4+C5+C6)</f>
        <v>0.174883329047648</v>
      </c>
      <c r="E6" s="26" t="n">
        <f aca="false">(C6-C5)/C5</f>
        <v>-0.565110916103753</v>
      </c>
    </row>
    <row r="7" customFormat="false" ht="15" hidden="false" customHeight="true" outlineLevel="0" collapsed="false"/>
    <row r="8" customFormat="false" ht="15.75" hidden="false" customHeight="true" outlineLevel="0" collapsed="false">
      <c r="A8" s="45" t="s">
        <v>159</v>
      </c>
      <c r="B8" s="45"/>
      <c r="C8" s="45"/>
      <c r="D8" s="45"/>
      <c r="E8" s="45"/>
    </row>
    <row r="9" customFormat="false" ht="15.75" hidden="false" customHeight="true" outlineLevel="0" collapsed="false">
      <c r="A9" s="46" t="s">
        <v>561</v>
      </c>
      <c r="B9" s="46"/>
      <c r="C9" s="46"/>
      <c r="D9" s="46"/>
      <c r="E9" s="46"/>
    </row>
    <row r="10" customFormat="false" ht="15.75" hidden="false" customHeight="true" outlineLevel="0" collapsed="false">
      <c r="A10" s="46" t="s">
        <v>562</v>
      </c>
      <c r="B10" s="46"/>
      <c r="C10" s="46"/>
      <c r="D10" s="46"/>
      <c r="E10" s="46"/>
    </row>
    <row r="11" customFormat="false" ht="15.75" hidden="false" customHeight="true" outlineLevel="0" collapsed="false">
      <c r="A11" s="46" t="s">
        <v>563</v>
      </c>
      <c r="B11" s="46"/>
      <c r="C11" s="46"/>
      <c r="D11" s="46"/>
      <c r="E11" s="46"/>
    </row>
    <row r="12" customFormat="false" ht="15.75" hidden="false" customHeight="true" outlineLevel="0" collapsed="false">
      <c r="A12" s="46" t="s">
        <v>564</v>
      </c>
      <c r="B12" s="46"/>
      <c r="C12" s="46"/>
      <c r="D12" s="46"/>
      <c r="E12" s="46"/>
    </row>
    <row r="13" customFormat="false" ht="15.75" hidden="false" customHeight="true" outlineLevel="0" collapsed="false">
      <c r="A13" s="46" t="s">
        <v>565</v>
      </c>
      <c r="B13" s="46"/>
      <c r="C13" s="46"/>
      <c r="D13" s="46"/>
      <c r="E13" s="46"/>
    </row>
    <row r="14" customFormat="false" ht="15" hidden="false" customHeight="true" outlineLevel="0" collapsed="false"/>
    <row r="15" customFormat="false" ht="15" hidden="false" customHeight="true" outlineLevel="0" collapsed="false"/>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8">
    <mergeCell ref="A1:E1"/>
    <mergeCell ref="A2:E2"/>
    <mergeCell ref="A8:E8"/>
    <mergeCell ref="A9:E9"/>
    <mergeCell ref="A10:E10"/>
    <mergeCell ref="A11:E11"/>
    <mergeCell ref="A12:E12"/>
    <mergeCell ref="A13:E1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12"/>
    <col collapsed="false" customWidth="true" hidden="false" outlineLevel="0" max="2" min="2" style="1" width="14"/>
    <col collapsed="false" customWidth="true" hidden="false" outlineLevel="0" max="6" min="3" style="1" width="12"/>
    <col collapsed="false" customWidth="true" hidden="false" outlineLevel="0" max="7" min="7" style="1" width="14"/>
    <col collapsed="false" customWidth="true" hidden="false" outlineLevel="0" max="8" min="8" style="1" width="18"/>
    <col collapsed="false" customWidth="true" hidden="false" outlineLevel="0" max="26" min="9" style="1" width="8.71"/>
  </cols>
  <sheetData>
    <row r="1" customFormat="false" ht="39.75" hidden="false" customHeight="true" outlineLevel="0" collapsed="false">
      <c r="A1" s="112" t="s">
        <v>566</v>
      </c>
      <c r="B1" s="112"/>
      <c r="C1" s="112"/>
      <c r="D1" s="112"/>
      <c r="E1" s="112"/>
      <c r="F1" s="112"/>
      <c r="G1" s="112"/>
      <c r="H1" s="112"/>
    </row>
    <row r="2" customFormat="false" ht="19.5" hidden="false" customHeight="true" outlineLevel="0" collapsed="false">
      <c r="A2" s="20" t="s">
        <v>430</v>
      </c>
      <c r="B2" s="20"/>
      <c r="C2" s="20"/>
      <c r="D2" s="20"/>
      <c r="E2" s="20"/>
      <c r="F2" s="20"/>
      <c r="G2" s="20"/>
      <c r="H2" s="20"/>
    </row>
    <row r="3" customFormat="false" ht="30" hidden="false" customHeight="true" outlineLevel="0" collapsed="false">
      <c r="A3" s="113" t="s">
        <v>432</v>
      </c>
      <c r="B3" s="113" t="s">
        <v>567</v>
      </c>
      <c r="C3" s="113" t="s">
        <v>433</v>
      </c>
      <c r="D3" s="113" t="s">
        <v>434</v>
      </c>
      <c r="E3" s="113" t="s">
        <v>435</v>
      </c>
      <c r="F3" s="113" t="s">
        <v>436</v>
      </c>
      <c r="G3" s="113" t="s">
        <v>316</v>
      </c>
      <c r="H3" s="113" t="s">
        <v>568</v>
      </c>
    </row>
    <row r="4" customFormat="false" ht="15" hidden="false" customHeight="true" outlineLevel="0" collapsed="false">
      <c r="A4" s="92" t="s">
        <v>439</v>
      </c>
      <c r="B4" s="94" t="n">
        <v>48</v>
      </c>
      <c r="C4" s="94" t="n">
        <v>815.75</v>
      </c>
      <c r="D4" s="94" t="n">
        <v>686.15</v>
      </c>
      <c r="E4" s="94" t="n">
        <v>338.67</v>
      </c>
      <c r="F4" s="92" t="n">
        <v>1840.57</v>
      </c>
      <c r="G4" s="26" t="n">
        <f aca="false">F4/F9</f>
        <v>0.503496025254542</v>
      </c>
      <c r="H4" s="114" t="n">
        <f aca="false">IF(B4&gt;0,F4/B4,0)</f>
        <v>38.3452083333333</v>
      </c>
    </row>
    <row r="5" customFormat="false" ht="15" hidden="false" customHeight="true" outlineLevel="0" collapsed="false">
      <c r="A5" s="95" t="s">
        <v>442</v>
      </c>
      <c r="B5" s="97" t="n">
        <v>13</v>
      </c>
      <c r="C5" s="97" t="n">
        <v>325.91</v>
      </c>
      <c r="D5" s="97" t="n">
        <v>383.83</v>
      </c>
      <c r="E5" s="97" t="n">
        <v>110.42</v>
      </c>
      <c r="F5" s="95" t="n">
        <v>820.16</v>
      </c>
      <c r="G5" s="31" t="n">
        <f aca="false">F5/F9</f>
        <v>0.224358378150663</v>
      </c>
      <c r="H5" s="115" t="n">
        <f aca="false">IF(B5&gt;0,F5/B5,0)</f>
        <v>63.0892307692308</v>
      </c>
    </row>
    <row r="6" customFormat="false" ht="15" hidden="false" customHeight="true" outlineLevel="0" collapsed="false">
      <c r="A6" s="92" t="s">
        <v>448</v>
      </c>
      <c r="B6" s="94" t="n">
        <v>14</v>
      </c>
      <c r="C6" s="94" t="n">
        <v>226.33</v>
      </c>
      <c r="D6" s="94" t="n">
        <v>191.38</v>
      </c>
      <c r="E6" s="94" t="n">
        <v>116.21</v>
      </c>
      <c r="F6" s="92" t="n">
        <v>533.92</v>
      </c>
      <c r="G6" s="26" t="n">
        <f aca="false">F6/F9</f>
        <v>0.14605616618977</v>
      </c>
      <c r="H6" s="114" t="n">
        <f aca="false">IF(B6&gt;0,F6/B6,0)</f>
        <v>38.1371428571429</v>
      </c>
    </row>
    <row r="7" customFormat="false" ht="15" hidden="false" customHeight="true" outlineLevel="0" collapsed="false">
      <c r="A7" s="95" t="s">
        <v>446</v>
      </c>
      <c r="B7" s="97" t="n">
        <v>7</v>
      </c>
      <c r="C7" s="97" t="n">
        <v>162.76</v>
      </c>
      <c r="D7" s="97" t="n">
        <v>150.33</v>
      </c>
      <c r="E7" s="97" t="n">
        <v>37</v>
      </c>
      <c r="F7" s="95" t="n">
        <v>350.09</v>
      </c>
      <c r="G7" s="31" t="n">
        <f aca="false">F7/F9</f>
        <v>0.0957686605135163</v>
      </c>
      <c r="H7" s="115" t="n">
        <f aca="false">IF(B7&gt;0,F7/B7,0)</f>
        <v>50.0128571428571</v>
      </c>
    </row>
    <row r="8" customFormat="false" ht="15" hidden="false" customHeight="true" outlineLevel="0" collapsed="false">
      <c r="A8" s="92" t="s">
        <v>454</v>
      </c>
      <c r="B8" s="94" t="n">
        <v>2</v>
      </c>
      <c r="C8" s="94" t="n">
        <v>15.5</v>
      </c>
      <c r="D8" s="94" t="n">
        <v>58.34</v>
      </c>
      <c r="E8" s="94" t="n">
        <v>37</v>
      </c>
      <c r="F8" s="92" t="n">
        <v>110.84</v>
      </c>
      <c r="G8" s="26" t="n">
        <f aca="false">F8/F9</f>
        <v>0.0303207698915083</v>
      </c>
      <c r="H8" s="114" t="n">
        <f aca="false">IF(B8&gt;0,F8/B8,0)</f>
        <v>55.42</v>
      </c>
    </row>
    <row r="9" customFormat="false" ht="15" hidden="false" customHeight="true" outlineLevel="0" collapsed="false">
      <c r="A9" s="38" t="s">
        <v>455</v>
      </c>
      <c r="B9" s="39" t="n">
        <v>84</v>
      </c>
      <c r="C9" s="39" t="n">
        <v>1546.25</v>
      </c>
      <c r="D9" s="39" t="n">
        <v>1470.03</v>
      </c>
      <c r="E9" s="39" t="n">
        <v>639.3</v>
      </c>
      <c r="F9" s="39" t="n">
        <v>3655.58</v>
      </c>
    </row>
    <row r="10" customFormat="false" ht="15" hidden="false" customHeight="true" outlineLevel="0" collapsed="false"/>
    <row r="11" customFormat="false" ht="15.75" hidden="false" customHeight="true" outlineLevel="0" collapsed="false">
      <c r="A11" s="45" t="s">
        <v>159</v>
      </c>
      <c r="B11" s="45"/>
      <c r="C11" s="45"/>
      <c r="D11" s="45"/>
      <c r="E11" s="45"/>
      <c r="F11" s="45"/>
      <c r="G11" s="45"/>
      <c r="H11" s="45"/>
    </row>
    <row r="12" customFormat="false" ht="15.75" hidden="false" customHeight="true" outlineLevel="0" collapsed="false">
      <c r="A12" s="46" t="s">
        <v>569</v>
      </c>
      <c r="B12" s="46"/>
      <c r="C12" s="46"/>
      <c r="D12" s="46"/>
      <c r="E12" s="46"/>
      <c r="F12" s="46"/>
      <c r="G12" s="46"/>
      <c r="H12" s="46"/>
    </row>
    <row r="13" customFormat="false" ht="15.75" hidden="false" customHeight="true" outlineLevel="0" collapsed="false">
      <c r="A13" s="46" t="s">
        <v>570</v>
      </c>
      <c r="B13" s="46"/>
      <c r="C13" s="46"/>
      <c r="D13" s="46"/>
      <c r="E13" s="46"/>
      <c r="F13" s="46"/>
      <c r="G13" s="46"/>
      <c r="H13" s="46"/>
    </row>
    <row r="14" customFormat="false" ht="15.75" hidden="false" customHeight="true" outlineLevel="0" collapsed="false">
      <c r="A14" s="46" t="s">
        <v>571</v>
      </c>
      <c r="B14" s="46"/>
      <c r="C14" s="46"/>
      <c r="D14" s="46"/>
      <c r="E14" s="46"/>
      <c r="F14" s="46"/>
      <c r="G14" s="46"/>
      <c r="H14" s="46"/>
    </row>
    <row r="15" customFormat="false" ht="15.75" hidden="false" customHeight="true" outlineLevel="0" collapsed="false">
      <c r="A15" s="46" t="s">
        <v>572</v>
      </c>
      <c r="B15" s="46"/>
      <c r="C15" s="46"/>
      <c r="D15" s="46"/>
      <c r="E15" s="46"/>
      <c r="F15" s="46"/>
      <c r="G15" s="46"/>
      <c r="H15" s="46"/>
    </row>
    <row r="16" customFormat="false" ht="15.75" hidden="false" customHeight="true" outlineLevel="0" collapsed="false">
      <c r="A16" s="46" t="s">
        <v>573</v>
      </c>
      <c r="B16" s="46"/>
      <c r="C16" s="46"/>
      <c r="D16" s="46"/>
      <c r="E16" s="46"/>
      <c r="F16" s="46"/>
      <c r="G16" s="46"/>
      <c r="H16" s="46"/>
    </row>
    <row r="17" customFormat="false" ht="15.75" hidden="false" customHeight="true" outlineLevel="0" collapsed="false">
      <c r="A17" s="46" t="s">
        <v>476</v>
      </c>
      <c r="B17" s="46"/>
      <c r="C17" s="46"/>
      <c r="D17" s="46"/>
      <c r="E17" s="46"/>
      <c r="F17" s="46"/>
      <c r="G17" s="46"/>
      <c r="H17" s="46"/>
    </row>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3:H8"/>
  <mergeCells count="9">
    <mergeCell ref="A1:H1"/>
    <mergeCell ref="A2:H2"/>
    <mergeCell ref="A11:H11"/>
    <mergeCell ref="A12:H12"/>
    <mergeCell ref="A13:H13"/>
    <mergeCell ref="A14:H14"/>
    <mergeCell ref="A15:H15"/>
    <mergeCell ref="A16:H16"/>
    <mergeCell ref="A17:H17"/>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5"/>
    <col collapsed="false" customWidth="true" hidden="false" outlineLevel="0" max="2" min="2" style="1" width="50"/>
    <col collapsed="false" customWidth="true" hidden="false" outlineLevel="0" max="3" min="3" style="1" width="14"/>
    <col collapsed="false" customWidth="true" hidden="false" outlineLevel="0" max="4" min="4" style="1" width="22"/>
    <col collapsed="false" customWidth="true" hidden="false" outlineLevel="0" max="5" min="5" style="1" width="10"/>
    <col collapsed="false" customWidth="true" hidden="false" outlineLevel="0" max="26" min="6" style="1" width="8.71"/>
  </cols>
  <sheetData>
    <row r="1" customFormat="false" ht="39.75" hidden="false" customHeight="true" outlineLevel="0" collapsed="false">
      <c r="A1" s="77" t="s">
        <v>574</v>
      </c>
      <c r="B1" s="77"/>
      <c r="C1" s="77"/>
      <c r="D1" s="77"/>
      <c r="E1" s="77"/>
    </row>
    <row r="2" customFormat="false" ht="19.5" hidden="false" customHeight="true" outlineLevel="0" collapsed="false">
      <c r="A2" s="20" t="s">
        <v>430</v>
      </c>
      <c r="B2" s="20"/>
      <c r="C2" s="20"/>
      <c r="D2" s="20"/>
      <c r="E2" s="20"/>
    </row>
    <row r="3" customFormat="false" ht="30" hidden="false" customHeight="true" outlineLevel="0" collapsed="false">
      <c r="A3" s="116" t="s">
        <v>55</v>
      </c>
      <c r="B3" s="116" t="s">
        <v>575</v>
      </c>
      <c r="C3" s="116" t="s">
        <v>379</v>
      </c>
      <c r="D3" s="116" t="s">
        <v>576</v>
      </c>
      <c r="E3" s="116" t="s">
        <v>577</v>
      </c>
    </row>
    <row r="4" customFormat="false" ht="15" hidden="false" customHeight="true" outlineLevel="0" collapsed="false">
      <c r="A4" s="92" t="n">
        <v>1</v>
      </c>
      <c r="B4" s="93" t="s">
        <v>578</v>
      </c>
      <c r="C4" s="92" t="n">
        <v>2174.39</v>
      </c>
      <c r="D4" s="26" t="n">
        <f aca="false">C4/C19</f>
        <v>0.594825345847775</v>
      </c>
      <c r="E4" s="94" t="n">
        <v>1</v>
      </c>
    </row>
    <row r="5" customFormat="false" ht="15" hidden="false" customHeight="true" outlineLevel="0" collapsed="false">
      <c r="A5" s="95" t="n">
        <v>2</v>
      </c>
      <c r="B5" s="96" t="s">
        <v>579</v>
      </c>
      <c r="C5" s="95" t="n">
        <v>864.36</v>
      </c>
      <c r="D5" s="31" t="n">
        <f aca="false">C5/C19</f>
        <v>0.236454010521104</v>
      </c>
      <c r="E5" s="97" t="n">
        <v>2</v>
      </c>
    </row>
    <row r="6" customFormat="false" ht="15" hidden="false" customHeight="true" outlineLevel="0" collapsed="false">
      <c r="A6" s="92" t="n">
        <v>3</v>
      </c>
      <c r="B6" s="93" t="s">
        <v>580</v>
      </c>
      <c r="C6" s="92" t="n">
        <v>174.02</v>
      </c>
      <c r="D6" s="26" t="n">
        <f aca="false">C6/C19</f>
        <v>0.0476048485710612</v>
      </c>
      <c r="E6" s="94" t="n">
        <v>3</v>
      </c>
    </row>
    <row r="7" customFormat="false" ht="15" hidden="false" customHeight="true" outlineLevel="0" collapsed="false">
      <c r="A7" s="95" t="n">
        <v>4</v>
      </c>
      <c r="B7" s="96" t="s">
        <v>581</v>
      </c>
      <c r="C7" s="95" t="n">
        <v>75</v>
      </c>
      <c r="D7" s="31" t="n">
        <f aca="false">C7/C19</f>
        <v>0.0205169730078703</v>
      </c>
      <c r="E7" s="97" t="n">
        <v>4</v>
      </c>
    </row>
    <row r="8" customFormat="false" ht="15" hidden="false" customHeight="true" outlineLevel="0" collapsed="false">
      <c r="A8" s="92" t="n">
        <v>5</v>
      </c>
      <c r="B8" s="93" t="s">
        <v>582</v>
      </c>
      <c r="C8" s="92" t="n">
        <v>71.76</v>
      </c>
      <c r="D8" s="26" t="n">
        <f aca="false">C8/C19</f>
        <v>0.0196306397739303</v>
      </c>
      <c r="E8" s="94" t="n">
        <v>5</v>
      </c>
    </row>
    <row r="9" customFormat="false" ht="15" hidden="false" customHeight="true" outlineLevel="0" collapsed="false">
      <c r="A9" s="95" t="n">
        <v>6</v>
      </c>
      <c r="B9" s="96" t="s">
        <v>583</v>
      </c>
      <c r="C9" s="95" t="n">
        <v>71.57</v>
      </c>
      <c r="D9" s="31" t="n">
        <f aca="false">C9/C19</f>
        <v>0.0195786634423104</v>
      </c>
      <c r="E9" s="97" t="n">
        <v>6</v>
      </c>
    </row>
    <row r="10" customFormat="false" ht="15" hidden="false" customHeight="true" outlineLevel="0" collapsed="false">
      <c r="A10" s="92" t="n">
        <v>7</v>
      </c>
      <c r="B10" s="93" t="s">
        <v>584</v>
      </c>
      <c r="C10" s="92" t="n">
        <v>62.42</v>
      </c>
      <c r="D10" s="26" t="n">
        <f aca="false">C10/C19</f>
        <v>0.0170755927353502</v>
      </c>
      <c r="E10" s="94" t="n">
        <v>7</v>
      </c>
    </row>
    <row r="11" customFormat="false" ht="15" hidden="false" customHeight="true" outlineLevel="0" collapsed="false">
      <c r="A11" s="95" t="n">
        <v>8</v>
      </c>
      <c r="B11" s="96" t="s">
        <v>585</v>
      </c>
      <c r="C11" s="95" t="n">
        <v>50.82</v>
      </c>
      <c r="D11" s="31" t="n">
        <f aca="false">C11/C19</f>
        <v>0.0139023009101329</v>
      </c>
      <c r="E11" s="97" t="n">
        <v>8</v>
      </c>
    </row>
    <row r="12" customFormat="false" ht="15" hidden="false" customHeight="true" outlineLevel="0" collapsed="false">
      <c r="A12" s="92" t="n">
        <v>9</v>
      </c>
      <c r="B12" s="93" t="s">
        <v>586</v>
      </c>
      <c r="C12" s="92" t="n">
        <v>38.83</v>
      </c>
      <c r="D12" s="26" t="n">
        <f aca="false">C12/C19</f>
        <v>0.0106223208252747</v>
      </c>
      <c r="E12" s="94" t="n">
        <v>9</v>
      </c>
    </row>
    <row r="13" customFormat="false" ht="15" hidden="false" customHeight="true" outlineLevel="0" collapsed="false">
      <c r="A13" s="95" t="n">
        <v>10</v>
      </c>
      <c r="B13" s="96" t="s">
        <v>587</v>
      </c>
      <c r="C13" s="95" t="n">
        <v>24.83</v>
      </c>
      <c r="D13" s="31" t="n">
        <f aca="false">C13/C19</f>
        <v>0.0067924858638056</v>
      </c>
      <c r="E13" s="97" t="n">
        <v>10</v>
      </c>
    </row>
    <row r="14" customFormat="false" ht="15" hidden="false" customHeight="true" outlineLevel="0" collapsed="false">
      <c r="A14" s="92" t="n">
        <v>11</v>
      </c>
      <c r="B14" s="93" t="s">
        <v>588</v>
      </c>
      <c r="C14" s="92" t="n">
        <v>22.67</v>
      </c>
      <c r="D14" s="26" t="n">
        <f aca="false">C14/C19</f>
        <v>0.00620159704117893</v>
      </c>
      <c r="E14" s="94" t="n">
        <v>11</v>
      </c>
    </row>
    <row r="15" customFormat="false" ht="15" hidden="false" customHeight="true" outlineLevel="0" collapsed="false">
      <c r="A15" s="95" t="n">
        <v>12</v>
      </c>
      <c r="B15" s="96" t="s">
        <v>589</v>
      </c>
      <c r="C15" s="95" t="n">
        <v>17.92</v>
      </c>
      <c r="D15" s="31" t="n">
        <f aca="false">C15/C19</f>
        <v>0.00490218875068048</v>
      </c>
      <c r="E15" s="97" t="n">
        <v>12</v>
      </c>
    </row>
    <row r="16" customFormat="false" ht="15" hidden="false" customHeight="true" outlineLevel="0" collapsed="false">
      <c r="A16" s="92" t="n">
        <v>13</v>
      </c>
      <c r="B16" s="93" t="s">
        <v>590</v>
      </c>
      <c r="C16" s="92" t="n">
        <v>4</v>
      </c>
      <c r="D16" s="26" t="n">
        <f aca="false">C16/C19</f>
        <v>0.00109423856041975</v>
      </c>
      <c r="E16" s="94" t="n">
        <v>13</v>
      </c>
    </row>
    <row r="17" customFormat="false" ht="15" hidden="false" customHeight="true" outlineLevel="0" collapsed="false">
      <c r="A17" s="95" t="n">
        <v>14</v>
      </c>
      <c r="B17" s="96" t="s">
        <v>591</v>
      </c>
      <c r="C17" s="95" t="n">
        <v>2.25</v>
      </c>
      <c r="D17" s="31" t="n">
        <f aca="false">C17/C19</f>
        <v>0.000615509190236109</v>
      </c>
      <c r="E17" s="97" t="n">
        <v>14</v>
      </c>
    </row>
    <row r="18" customFormat="false" ht="15" hidden="false" customHeight="true" outlineLevel="0" collapsed="false">
      <c r="A18" s="92" t="n">
        <v>15</v>
      </c>
      <c r="B18" s="93" t="s">
        <v>592</v>
      </c>
      <c r="C18" s="92" t="n">
        <v>0.67</v>
      </c>
      <c r="D18" s="26" t="n">
        <f aca="false">C18/C19</f>
        <v>0.000183284958870308</v>
      </c>
      <c r="E18" s="94" t="n">
        <v>15</v>
      </c>
    </row>
    <row r="19" customFormat="false" ht="15" hidden="false" customHeight="true" outlineLevel="0" collapsed="false">
      <c r="B19" s="38" t="s">
        <v>455</v>
      </c>
      <c r="C19" s="39" t="n">
        <v>3655.51</v>
      </c>
    </row>
    <row r="20" customFormat="false" ht="15" hidden="false" customHeight="true" outlineLevel="0" collapsed="false"/>
    <row r="21" customFormat="false" ht="15.75" hidden="false" customHeight="true" outlineLevel="0" collapsed="false">
      <c r="A21" s="45" t="s">
        <v>159</v>
      </c>
      <c r="B21" s="45"/>
      <c r="C21" s="45"/>
      <c r="D21" s="45"/>
      <c r="E21" s="45"/>
    </row>
    <row r="22" customFormat="false" ht="15.75" hidden="false" customHeight="true" outlineLevel="0" collapsed="false">
      <c r="A22" s="46" t="s">
        <v>593</v>
      </c>
      <c r="B22" s="46"/>
      <c r="C22" s="46"/>
      <c r="D22" s="46"/>
      <c r="E22" s="46"/>
    </row>
    <row r="23" customFormat="false" ht="15.75" hidden="false" customHeight="true" outlineLevel="0" collapsed="false">
      <c r="A23" s="46" t="s">
        <v>594</v>
      </c>
      <c r="B23" s="46"/>
      <c r="C23" s="46"/>
      <c r="D23" s="46"/>
      <c r="E23" s="46"/>
    </row>
    <row r="24" customFormat="false" ht="15.75" hidden="false" customHeight="true" outlineLevel="0" collapsed="false">
      <c r="A24" s="46" t="s">
        <v>595</v>
      </c>
      <c r="B24" s="46"/>
      <c r="C24" s="46"/>
      <c r="D24" s="46"/>
      <c r="E24" s="46"/>
    </row>
    <row r="25" customFormat="false" ht="15.75" hidden="false" customHeight="true" outlineLevel="0" collapsed="false">
      <c r="A25" s="46" t="s">
        <v>596</v>
      </c>
      <c r="B25" s="46"/>
      <c r="C25" s="46"/>
      <c r="D25" s="46"/>
      <c r="E25" s="46"/>
    </row>
    <row r="26" customFormat="false" ht="15.75" hidden="false" customHeight="true" outlineLevel="0" collapsed="false">
      <c r="A26" s="46" t="s">
        <v>597</v>
      </c>
      <c r="B26" s="46"/>
      <c r="C26" s="46"/>
      <c r="D26" s="46"/>
      <c r="E26" s="46"/>
    </row>
    <row r="27" customFormat="false" ht="15.75" hidden="false" customHeight="true" outlineLevel="0" collapsed="false">
      <c r="A27" s="46" t="s">
        <v>476</v>
      </c>
      <c r="B27" s="46"/>
      <c r="C27" s="46"/>
      <c r="D27" s="46"/>
      <c r="E27" s="46"/>
    </row>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3:E18"/>
  <mergeCells count="9">
    <mergeCell ref="A1:E1"/>
    <mergeCell ref="A2:E2"/>
    <mergeCell ref="A21:E21"/>
    <mergeCell ref="A22:E22"/>
    <mergeCell ref="A23:E23"/>
    <mergeCell ref="A24:E24"/>
    <mergeCell ref="A25:E25"/>
    <mergeCell ref="A26:E26"/>
    <mergeCell ref="A27:E27"/>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5"/>
    <col collapsed="false" customWidth="true" hidden="false" outlineLevel="0" max="2" min="2" style="1" width="40"/>
    <col collapsed="false" customWidth="true" hidden="false" outlineLevel="0" max="3" min="3" style="1" width="10"/>
    <col collapsed="false" customWidth="true" hidden="false" outlineLevel="0" max="7" min="4" style="1" width="12"/>
    <col collapsed="false" customWidth="true" hidden="false" outlineLevel="0" max="26" min="8" style="1" width="8.71"/>
  </cols>
  <sheetData>
    <row r="1" customFormat="false" ht="39.75" hidden="false" customHeight="true" outlineLevel="0" collapsed="false">
      <c r="A1" s="85" t="s">
        <v>598</v>
      </c>
      <c r="B1" s="85"/>
      <c r="C1" s="85"/>
      <c r="D1" s="85"/>
      <c r="E1" s="85"/>
      <c r="F1" s="85"/>
      <c r="G1" s="85"/>
    </row>
    <row r="2" customFormat="false" ht="19.5" hidden="false" customHeight="true" outlineLevel="0" collapsed="false">
      <c r="A2" s="20" t="s">
        <v>430</v>
      </c>
      <c r="B2" s="20"/>
      <c r="C2" s="20"/>
      <c r="D2" s="20"/>
      <c r="E2" s="20"/>
      <c r="F2" s="20"/>
      <c r="G2" s="20"/>
    </row>
    <row r="3" customFormat="false" ht="30" hidden="false" customHeight="true" outlineLevel="0" collapsed="false">
      <c r="A3" s="117" t="s">
        <v>55</v>
      </c>
      <c r="B3" s="117" t="s">
        <v>431</v>
      </c>
      <c r="C3" s="117" t="s">
        <v>432</v>
      </c>
      <c r="D3" s="117" t="s">
        <v>433</v>
      </c>
      <c r="E3" s="117" t="s">
        <v>434</v>
      </c>
      <c r="F3" s="117" t="s">
        <v>435</v>
      </c>
      <c r="G3" s="117" t="s">
        <v>436</v>
      </c>
    </row>
    <row r="4" customFormat="false" ht="15" hidden="false" customHeight="true" outlineLevel="0" collapsed="false">
      <c r="A4" s="92" t="n">
        <v>1</v>
      </c>
      <c r="B4" s="93" t="s">
        <v>438</v>
      </c>
      <c r="C4" s="94" t="s">
        <v>439</v>
      </c>
      <c r="D4" s="94" t="n">
        <v>165.6</v>
      </c>
      <c r="E4" s="94" t="n">
        <v>135.73</v>
      </c>
      <c r="F4" s="94" t="n">
        <v>12.58</v>
      </c>
      <c r="G4" s="114" t="n">
        <f aca="false">D4+E4+F4</f>
        <v>313.91</v>
      </c>
    </row>
    <row r="5" customFormat="false" ht="15" hidden="false" customHeight="true" outlineLevel="0" collapsed="false">
      <c r="A5" s="95" t="n">
        <v>2</v>
      </c>
      <c r="B5" s="96" t="s">
        <v>441</v>
      </c>
      <c r="C5" s="97" t="s">
        <v>442</v>
      </c>
      <c r="D5" s="97" t="n">
        <v>115</v>
      </c>
      <c r="E5" s="97" t="n">
        <v>143</v>
      </c>
      <c r="F5" s="97" t="n">
        <v>22.92</v>
      </c>
      <c r="G5" s="115" t="n">
        <f aca="false">D5+E5+F5</f>
        <v>280.92</v>
      </c>
    </row>
    <row r="6" customFormat="false" ht="15" hidden="false" customHeight="true" outlineLevel="0" collapsed="false">
      <c r="A6" s="92" t="n">
        <v>3</v>
      </c>
      <c r="B6" s="93" t="s">
        <v>443</v>
      </c>
      <c r="C6" s="94" t="s">
        <v>442</v>
      </c>
      <c r="D6" s="94" t="n">
        <v>59</v>
      </c>
      <c r="E6" s="94" t="n">
        <v>119.17</v>
      </c>
      <c r="F6" s="94" t="n">
        <v>38.25</v>
      </c>
      <c r="G6" s="114" t="n">
        <f aca="false">D6+E6+F6</f>
        <v>216.42</v>
      </c>
    </row>
    <row r="7" customFormat="false" ht="15" hidden="false" customHeight="true" outlineLevel="0" collapsed="false">
      <c r="A7" s="95" t="n">
        <v>4</v>
      </c>
      <c r="B7" s="96" t="s">
        <v>444</v>
      </c>
      <c r="C7" s="97" t="s">
        <v>439</v>
      </c>
      <c r="D7" s="97" t="n">
        <v>107.92</v>
      </c>
      <c r="E7" s="97" t="n">
        <v>48</v>
      </c>
      <c r="F7" s="97" t="n">
        <v>20.75</v>
      </c>
      <c r="G7" s="115" t="n">
        <f aca="false">D7+E7+F7</f>
        <v>176.67</v>
      </c>
    </row>
    <row r="8" customFormat="false" ht="15" hidden="false" customHeight="true" outlineLevel="0" collapsed="false">
      <c r="A8" s="92" t="n">
        <v>5</v>
      </c>
      <c r="B8" s="93" t="s">
        <v>445</v>
      </c>
      <c r="C8" s="94" t="s">
        <v>446</v>
      </c>
      <c r="D8" s="94" t="n">
        <v>98</v>
      </c>
      <c r="E8" s="94" t="n">
        <v>50.33</v>
      </c>
      <c r="F8" s="94" t="n">
        <v>15.25</v>
      </c>
      <c r="G8" s="114" t="n">
        <f aca="false">D8+E8+F8</f>
        <v>163.58</v>
      </c>
    </row>
    <row r="9" customFormat="false" ht="15" hidden="false" customHeight="true" outlineLevel="0" collapsed="false">
      <c r="A9" s="95" t="n">
        <v>6</v>
      </c>
      <c r="B9" s="96" t="s">
        <v>447</v>
      </c>
      <c r="C9" s="97" t="s">
        <v>448</v>
      </c>
      <c r="D9" s="97" t="n">
        <v>35.58</v>
      </c>
      <c r="E9" s="97" t="n">
        <v>46.92</v>
      </c>
      <c r="F9" s="97" t="n">
        <v>36.45</v>
      </c>
      <c r="G9" s="115" t="n">
        <f aca="false">D9+E9+F9</f>
        <v>118.95</v>
      </c>
    </row>
    <row r="10" customFormat="false" ht="15" hidden="false" customHeight="true" outlineLevel="0" collapsed="false">
      <c r="A10" s="92" t="n">
        <v>7</v>
      </c>
      <c r="B10" s="93" t="s">
        <v>449</v>
      </c>
      <c r="C10" s="94" t="s">
        <v>439</v>
      </c>
      <c r="D10" s="94" t="n">
        <v>54.87</v>
      </c>
      <c r="E10" s="94" t="n">
        <v>39.25</v>
      </c>
      <c r="F10" s="94" t="n">
        <v>14.58</v>
      </c>
      <c r="G10" s="114" t="n">
        <f aca="false">D10+E10+F10</f>
        <v>108.7</v>
      </c>
    </row>
    <row r="11" customFormat="false" ht="15" hidden="false" customHeight="true" outlineLevel="0" collapsed="false">
      <c r="A11" s="95" t="n">
        <v>8</v>
      </c>
      <c r="B11" s="96" t="s">
        <v>450</v>
      </c>
      <c r="C11" s="97" t="s">
        <v>439</v>
      </c>
      <c r="D11" s="97" t="n">
        <v>25.17</v>
      </c>
      <c r="E11" s="97" t="n">
        <v>43.5</v>
      </c>
      <c r="F11" s="97" t="n">
        <v>32.58</v>
      </c>
      <c r="G11" s="115" t="n">
        <f aca="false">D11+E11+F11</f>
        <v>101.25</v>
      </c>
    </row>
    <row r="12" customFormat="false" ht="15" hidden="false" customHeight="true" outlineLevel="0" collapsed="false">
      <c r="A12" s="92" t="n">
        <v>9</v>
      </c>
      <c r="B12" s="93" t="s">
        <v>451</v>
      </c>
      <c r="C12" s="94" t="s">
        <v>442</v>
      </c>
      <c r="D12" s="94" t="n">
        <v>73.17</v>
      </c>
      <c r="E12" s="94" t="n">
        <v>20.7</v>
      </c>
      <c r="F12" s="94" t="n">
        <v>0</v>
      </c>
      <c r="G12" s="114" t="n">
        <f aca="false">D12+E12+F12</f>
        <v>93.87</v>
      </c>
    </row>
    <row r="13" customFormat="false" ht="15" hidden="false" customHeight="true" outlineLevel="0" collapsed="false">
      <c r="A13" s="95" t="n">
        <v>10</v>
      </c>
      <c r="B13" s="96" t="s">
        <v>453</v>
      </c>
      <c r="C13" s="97" t="s">
        <v>454</v>
      </c>
      <c r="D13" s="97" t="n">
        <v>0</v>
      </c>
      <c r="E13" s="97" t="n">
        <v>49.92</v>
      </c>
      <c r="F13" s="97" t="n">
        <v>37</v>
      </c>
      <c r="G13" s="115" t="n">
        <f aca="false">D13+E13+F13</f>
        <v>86.92</v>
      </c>
    </row>
    <row r="14" customFormat="false" ht="15" hidden="false" customHeight="true" outlineLevel="0" collapsed="false">
      <c r="A14" s="92" t="n">
        <v>11</v>
      </c>
      <c r="B14" s="93" t="s">
        <v>480</v>
      </c>
      <c r="C14" s="94" t="s">
        <v>439</v>
      </c>
      <c r="D14" s="94" t="n">
        <v>58.42</v>
      </c>
      <c r="E14" s="94" t="n">
        <v>21.83</v>
      </c>
      <c r="F14" s="94" t="n">
        <v>3.5</v>
      </c>
      <c r="G14" s="114" t="n">
        <f aca="false">D14+E14+F14</f>
        <v>83.75</v>
      </c>
    </row>
    <row r="15" customFormat="false" ht="15" hidden="false" customHeight="true" outlineLevel="0" collapsed="false">
      <c r="A15" s="95" t="n">
        <v>12</v>
      </c>
      <c r="B15" s="96" t="s">
        <v>481</v>
      </c>
      <c r="C15" s="97" t="s">
        <v>448</v>
      </c>
      <c r="D15" s="97" t="n">
        <v>32.83</v>
      </c>
      <c r="E15" s="97" t="n">
        <v>26</v>
      </c>
      <c r="F15" s="97" t="n">
        <v>21.17</v>
      </c>
      <c r="G15" s="115" t="n">
        <f aca="false">D15+E15+F15</f>
        <v>80</v>
      </c>
    </row>
    <row r="16" customFormat="false" ht="15" hidden="false" customHeight="true" outlineLevel="0" collapsed="false">
      <c r="A16" s="92" t="n">
        <v>13</v>
      </c>
      <c r="B16" s="93" t="s">
        <v>482</v>
      </c>
      <c r="C16" s="94" t="s">
        <v>439</v>
      </c>
      <c r="D16" s="94" t="n">
        <v>37.17</v>
      </c>
      <c r="E16" s="94" t="n">
        <v>27.1</v>
      </c>
      <c r="F16" s="94" t="n">
        <v>14.33</v>
      </c>
      <c r="G16" s="114" t="n">
        <f aca="false">D16+E16+F16</f>
        <v>78.6</v>
      </c>
    </row>
    <row r="17" customFormat="false" ht="15" hidden="false" customHeight="true" outlineLevel="0" collapsed="false">
      <c r="A17" s="95" t="n">
        <v>14</v>
      </c>
      <c r="B17" s="96" t="s">
        <v>483</v>
      </c>
      <c r="C17" s="97" t="s">
        <v>439</v>
      </c>
      <c r="D17" s="97" t="n">
        <v>35</v>
      </c>
      <c r="E17" s="97" t="n">
        <v>27.2</v>
      </c>
      <c r="F17" s="97" t="n">
        <v>11.92</v>
      </c>
      <c r="G17" s="115" t="n">
        <f aca="false">D17+E17+F17</f>
        <v>74.12</v>
      </c>
    </row>
    <row r="18" customFormat="false" ht="15" hidden="false" customHeight="true" outlineLevel="0" collapsed="false">
      <c r="A18" s="92" t="n">
        <v>15</v>
      </c>
      <c r="B18" s="93" t="s">
        <v>484</v>
      </c>
      <c r="C18" s="94" t="s">
        <v>439</v>
      </c>
      <c r="D18" s="94" t="n">
        <v>18.5</v>
      </c>
      <c r="E18" s="94" t="n">
        <v>42.75</v>
      </c>
      <c r="F18" s="94" t="n">
        <v>10.67</v>
      </c>
      <c r="G18" s="114" t="n">
        <f aca="false">D18+E18+F18</f>
        <v>71.92</v>
      </c>
    </row>
    <row r="19" customFormat="false" ht="15" hidden="false" customHeight="true" outlineLevel="0" collapsed="false">
      <c r="A19" s="95" t="n">
        <v>16</v>
      </c>
      <c r="B19" s="96" t="s">
        <v>519</v>
      </c>
      <c r="C19" s="97" t="s">
        <v>448</v>
      </c>
      <c r="D19" s="97" t="n">
        <v>40.25</v>
      </c>
      <c r="E19" s="97" t="n">
        <v>30.55</v>
      </c>
      <c r="F19" s="97" t="n">
        <v>0</v>
      </c>
      <c r="G19" s="115" t="n">
        <f aca="false">D19+E19+F19</f>
        <v>70.8</v>
      </c>
    </row>
    <row r="20" customFormat="false" ht="15" hidden="false" customHeight="true" outlineLevel="0" collapsed="false">
      <c r="A20" s="92" t="n">
        <v>17</v>
      </c>
      <c r="B20" s="93" t="s">
        <v>485</v>
      </c>
      <c r="C20" s="94" t="s">
        <v>439</v>
      </c>
      <c r="D20" s="94" t="n">
        <v>26.25</v>
      </c>
      <c r="E20" s="94" t="n">
        <v>27.42</v>
      </c>
      <c r="F20" s="94" t="n">
        <v>17</v>
      </c>
      <c r="G20" s="114" t="n">
        <f aca="false">D20+E20+F20</f>
        <v>70.67</v>
      </c>
    </row>
    <row r="21" customFormat="false" ht="15.75" hidden="false" customHeight="true" outlineLevel="0" collapsed="false">
      <c r="A21" s="95" t="n">
        <v>18</v>
      </c>
      <c r="B21" s="96" t="s">
        <v>486</v>
      </c>
      <c r="C21" s="97" t="s">
        <v>446</v>
      </c>
      <c r="D21" s="97" t="n">
        <v>34.25</v>
      </c>
      <c r="E21" s="97" t="n">
        <v>23.92</v>
      </c>
      <c r="F21" s="97" t="n">
        <v>9.17</v>
      </c>
      <c r="G21" s="115" t="n">
        <f aca="false">D21+E21+F21</f>
        <v>67.34</v>
      </c>
    </row>
    <row r="22" customFormat="false" ht="15.75" hidden="false" customHeight="true" outlineLevel="0" collapsed="false">
      <c r="A22" s="92" t="n">
        <v>19</v>
      </c>
      <c r="B22" s="93" t="s">
        <v>487</v>
      </c>
      <c r="C22" s="94" t="s">
        <v>439</v>
      </c>
      <c r="D22" s="94" t="n">
        <v>38.5</v>
      </c>
      <c r="E22" s="94" t="n">
        <v>21.17</v>
      </c>
      <c r="F22" s="94" t="n">
        <v>2.67</v>
      </c>
      <c r="G22" s="114" t="n">
        <f aca="false">D22+E22+F22</f>
        <v>62.34</v>
      </c>
    </row>
    <row r="23" customFormat="false" ht="15.75" hidden="false" customHeight="true" outlineLevel="0" collapsed="false">
      <c r="A23" s="95" t="n">
        <v>20</v>
      </c>
      <c r="B23" s="96" t="s">
        <v>488</v>
      </c>
      <c r="C23" s="97" t="s">
        <v>448</v>
      </c>
      <c r="D23" s="97" t="n">
        <v>22.33</v>
      </c>
      <c r="E23" s="97" t="n">
        <v>28.08</v>
      </c>
      <c r="F23" s="97" t="n">
        <v>4.42</v>
      </c>
      <c r="G23" s="115" t="n">
        <f aca="false">D23+E23+F23</f>
        <v>54.83</v>
      </c>
    </row>
    <row r="24" customFormat="false" ht="15.75" hidden="false" customHeight="true" outlineLevel="0" collapsed="false">
      <c r="A24" s="92" t="n">
        <v>21</v>
      </c>
      <c r="B24" s="93" t="s">
        <v>489</v>
      </c>
      <c r="C24" s="94" t="s">
        <v>439</v>
      </c>
      <c r="D24" s="94" t="n">
        <v>4</v>
      </c>
      <c r="E24" s="94" t="n">
        <v>30</v>
      </c>
      <c r="F24" s="94" t="n">
        <v>18.67</v>
      </c>
      <c r="G24" s="114" t="n">
        <f aca="false">D24+E24+F24</f>
        <v>52.67</v>
      </c>
    </row>
    <row r="25" customFormat="false" ht="15.75" hidden="false" customHeight="true" outlineLevel="0" collapsed="false">
      <c r="A25" s="95" t="n">
        <v>22</v>
      </c>
      <c r="B25" s="96" t="s">
        <v>520</v>
      </c>
      <c r="C25" s="97" t="s">
        <v>439</v>
      </c>
      <c r="D25" s="97" t="n">
        <v>0</v>
      </c>
      <c r="E25" s="97" t="n">
        <v>25.83</v>
      </c>
      <c r="F25" s="97" t="n">
        <v>26.5</v>
      </c>
      <c r="G25" s="115" t="n">
        <f aca="false">D25+E25+F25</f>
        <v>52.33</v>
      </c>
    </row>
    <row r="26" customFormat="false" ht="15.75" hidden="false" customHeight="true" outlineLevel="0" collapsed="false">
      <c r="A26" s="92" t="n">
        <v>23</v>
      </c>
      <c r="B26" s="93" t="s">
        <v>490</v>
      </c>
      <c r="C26" s="94" t="s">
        <v>439</v>
      </c>
      <c r="D26" s="94" t="n">
        <v>28.67</v>
      </c>
      <c r="E26" s="94" t="n">
        <v>10.18</v>
      </c>
      <c r="F26" s="94" t="n">
        <v>12.42</v>
      </c>
      <c r="G26" s="114" t="n">
        <f aca="false">D26+E26+F26</f>
        <v>51.27</v>
      </c>
    </row>
    <row r="27" customFormat="false" ht="15.75" hidden="false" customHeight="true" outlineLevel="0" collapsed="false">
      <c r="A27" s="95" t="n">
        <v>24</v>
      </c>
      <c r="B27" s="96" t="s">
        <v>491</v>
      </c>
      <c r="C27" s="97" t="s">
        <v>442</v>
      </c>
      <c r="D27" s="97" t="n">
        <v>18</v>
      </c>
      <c r="E27" s="97" t="n">
        <v>16.08</v>
      </c>
      <c r="F27" s="97" t="n">
        <v>15.75</v>
      </c>
      <c r="G27" s="115" t="n">
        <f aca="false">D27+E27+F27</f>
        <v>49.83</v>
      </c>
    </row>
    <row r="28" customFormat="false" ht="15.75" hidden="false" customHeight="true" outlineLevel="0" collapsed="false">
      <c r="A28" s="92" t="n">
        <v>25</v>
      </c>
      <c r="B28" s="93" t="s">
        <v>492</v>
      </c>
      <c r="C28" s="94" t="s">
        <v>439</v>
      </c>
      <c r="D28" s="94" t="n">
        <v>23.92</v>
      </c>
      <c r="E28" s="94" t="n">
        <v>11.08</v>
      </c>
      <c r="F28" s="94" t="n">
        <v>12.5</v>
      </c>
      <c r="G28" s="114" t="n">
        <f aca="false">D28+E28+F28</f>
        <v>47.5</v>
      </c>
    </row>
    <row r="29" customFormat="false" ht="15.75" hidden="false" customHeight="true" outlineLevel="0" collapsed="false">
      <c r="A29" s="95" t="n">
        <v>26</v>
      </c>
      <c r="B29" s="96" t="s">
        <v>521</v>
      </c>
      <c r="C29" s="97" t="s">
        <v>439</v>
      </c>
      <c r="D29" s="97" t="n">
        <v>0</v>
      </c>
      <c r="E29" s="97" t="n">
        <v>24.92</v>
      </c>
      <c r="F29" s="97" t="n">
        <v>18.42</v>
      </c>
      <c r="G29" s="115" t="n">
        <f aca="false">D29+E29+F29</f>
        <v>43.34</v>
      </c>
    </row>
    <row r="30" customFormat="false" ht="15.75" hidden="false" customHeight="true" outlineLevel="0" collapsed="false">
      <c r="A30" s="92" t="n">
        <v>27</v>
      </c>
      <c r="B30" s="93" t="s">
        <v>493</v>
      </c>
      <c r="C30" s="94" t="s">
        <v>448</v>
      </c>
      <c r="D30" s="94" t="n">
        <v>26.25</v>
      </c>
      <c r="E30" s="94" t="n">
        <v>9.25</v>
      </c>
      <c r="F30" s="94" t="n">
        <v>7.25</v>
      </c>
      <c r="G30" s="114" t="n">
        <f aca="false">D30+E30+F30</f>
        <v>42.75</v>
      </c>
    </row>
    <row r="31" customFormat="false" ht="15.75" hidden="false" customHeight="true" outlineLevel="0" collapsed="false">
      <c r="A31" s="95" t="n">
        <v>28</v>
      </c>
      <c r="B31" s="96" t="s">
        <v>494</v>
      </c>
      <c r="C31" s="97" t="s">
        <v>442</v>
      </c>
      <c r="D31" s="97" t="n">
        <v>2.5</v>
      </c>
      <c r="E31" s="97" t="n">
        <v>17.42</v>
      </c>
      <c r="F31" s="97" t="n">
        <v>21.83</v>
      </c>
      <c r="G31" s="115" t="n">
        <f aca="false">D31+E31+F31</f>
        <v>41.75</v>
      </c>
    </row>
    <row r="32" customFormat="false" ht="15.75" hidden="false" customHeight="true" outlineLevel="0" collapsed="false">
      <c r="A32" s="92" t="n">
        <v>29</v>
      </c>
      <c r="B32" s="93" t="s">
        <v>495</v>
      </c>
      <c r="C32" s="94" t="s">
        <v>446</v>
      </c>
      <c r="D32" s="94" t="n">
        <v>7.75</v>
      </c>
      <c r="E32" s="94" t="n">
        <v>23.5</v>
      </c>
      <c r="F32" s="94" t="n">
        <v>9.5</v>
      </c>
      <c r="G32" s="114" t="n">
        <f aca="false">D32+E32+F32</f>
        <v>40.75</v>
      </c>
    </row>
    <row r="33" customFormat="false" ht="15.75" hidden="false" customHeight="true" outlineLevel="0" collapsed="false">
      <c r="A33" s="95" t="n">
        <v>30</v>
      </c>
      <c r="B33" s="96" t="s">
        <v>496</v>
      </c>
      <c r="C33" s="97" t="s">
        <v>439</v>
      </c>
      <c r="D33" s="97" t="n">
        <v>26.5</v>
      </c>
      <c r="E33" s="97" t="n">
        <v>12.42</v>
      </c>
      <c r="F33" s="97" t="n">
        <v>0.5</v>
      </c>
      <c r="G33" s="115" t="n">
        <f aca="false">D33+E33+F33</f>
        <v>39.42</v>
      </c>
    </row>
    <row r="34" customFormat="false" ht="15.75" hidden="false" customHeight="true" outlineLevel="0" collapsed="false">
      <c r="A34" s="92" t="n">
        <v>31</v>
      </c>
      <c r="B34" s="93" t="s">
        <v>497</v>
      </c>
      <c r="C34" s="94" t="s">
        <v>448</v>
      </c>
      <c r="D34" s="94" t="n">
        <v>11.5</v>
      </c>
      <c r="E34" s="94" t="n">
        <v>12.67</v>
      </c>
      <c r="F34" s="94" t="n">
        <v>13.5</v>
      </c>
      <c r="G34" s="114" t="n">
        <f aca="false">D34+E34+F34</f>
        <v>37.67</v>
      </c>
    </row>
    <row r="35" customFormat="false" ht="15.75" hidden="false" customHeight="true" outlineLevel="0" collapsed="false">
      <c r="A35" s="95" t="n">
        <v>32</v>
      </c>
      <c r="B35" s="96" t="s">
        <v>522</v>
      </c>
      <c r="C35" s="97" t="s">
        <v>439</v>
      </c>
      <c r="D35" s="97" t="n">
        <v>0</v>
      </c>
      <c r="E35" s="97" t="n">
        <v>17.17</v>
      </c>
      <c r="F35" s="97" t="n">
        <v>20.25</v>
      </c>
      <c r="G35" s="115" t="n">
        <f aca="false">D35+E35+F35</f>
        <v>37.42</v>
      </c>
    </row>
    <row r="36" customFormat="false" ht="15.75" hidden="false" customHeight="true" outlineLevel="0" collapsed="false">
      <c r="A36" s="92" t="n">
        <v>33</v>
      </c>
      <c r="B36" s="93" t="s">
        <v>523</v>
      </c>
      <c r="C36" s="94" t="s">
        <v>446</v>
      </c>
      <c r="D36" s="94" t="n">
        <v>9.1</v>
      </c>
      <c r="E36" s="94" t="n">
        <v>27.33</v>
      </c>
      <c r="F36" s="94" t="n">
        <v>0</v>
      </c>
      <c r="G36" s="114" t="n">
        <f aca="false">D36+E36+F36</f>
        <v>36.43</v>
      </c>
    </row>
    <row r="37" customFormat="false" ht="15.75" hidden="false" customHeight="true" outlineLevel="0" collapsed="false">
      <c r="A37" s="95" t="n">
        <v>34</v>
      </c>
      <c r="B37" s="96" t="s">
        <v>498</v>
      </c>
      <c r="C37" s="97" t="s">
        <v>448</v>
      </c>
      <c r="D37" s="97" t="n">
        <v>9.42</v>
      </c>
      <c r="E37" s="97" t="n">
        <v>18.25</v>
      </c>
      <c r="F37" s="97" t="n">
        <v>8.67</v>
      </c>
      <c r="G37" s="115" t="n">
        <f aca="false">D37+E37+F37</f>
        <v>36.34</v>
      </c>
    </row>
    <row r="38" customFormat="false" ht="15.75" hidden="false" customHeight="true" outlineLevel="0" collapsed="false">
      <c r="A38" s="92" t="n">
        <v>35</v>
      </c>
      <c r="B38" s="93" t="s">
        <v>499</v>
      </c>
      <c r="C38" s="94" t="s">
        <v>448</v>
      </c>
      <c r="D38" s="94" t="n">
        <v>12.25</v>
      </c>
      <c r="E38" s="94" t="n">
        <v>13.58</v>
      </c>
      <c r="F38" s="94" t="n">
        <v>9.75</v>
      </c>
      <c r="G38" s="114" t="n">
        <f aca="false">D38+E38+F38</f>
        <v>35.58</v>
      </c>
    </row>
    <row r="39" customFormat="false" ht="15.75" hidden="false" customHeight="true" outlineLevel="0" collapsed="false">
      <c r="A39" s="95" t="n">
        <v>36</v>
      </c>
      <c r="B39" s="96" t="s">
        <v>500</v>
      </c>
      <c r="C39" s="97" t="s">
        <v>446</v>
      </c>
      <c r="D39" s="97" t="n">
        <v>6.33</v>
      </c>
      <c r="E39" s="97" t="n">
        <v>25.25</v>
      </c>
      <c r="F39" s="97" t="n">
        <v>3.08</v>
      </c>
      <c r="G39" s="115" t="n">
        <f aca="false">D39+E39+F39</f>
        <v>34.66</v>
      </c>
    </row>
    <row r="40" customFormat="false" ht="15.75" hidden="false" customHeight="true" outlineLevel="0" collapsed="false">
      <c r="A40" s="92" t="n">
        <v>37</v>
      </c>
      <c r="B40" s="93" t="s">
        <v>501</v>
      </c>
      <c r="C40" s="94" t="s">
        <v>439</v>
      </c>
      <c r="D40" s="94" t="n">
        <v>17</v>
      </c>
      <c r="E40" s="94" t="n">
        <v>6.58</v>
      </c>
      <c r="F40" s="94" t="n">
        <v>10.25</v>
      </c>
      <c r="G40" s="114" t="n">
        <f aca="false">D40+E40+F40</f>
        <v>33.83</v>
      </c>
    </row>
    <row r="41" customFormat="false" ht="15.75" hidden="false" customHeight="true" outlineLevel="0" collapsed="false">
      <c r="A41" s="95" t="n">
        <v>38</v>
      </c>
      <c r="B41" s="96" t="s">
        <v>524</v>
      </c>
      <c r="C41" s="97" t="s">
        <v>439</v>
      </c>
      <c r="D41" s="97" t="n">
        <v>0</v>
      </c>
      <c r="E41" s="97" t="n">
        <v>12.67</v>
      </c>
      <c r="F41" s="97" t="n">
        <v>19.83</v>
      </c>
      <c r="G41" s="115" t="n">
        <f aca="false">D41+E41+F41</f>
        <v>32.5</v>
      </c>
    </row>
    <row r="42" customFormat="false" ht="15.75" hidden="false" customHeight="true" outlineLevel="0" collapsed="false">
      <c r="A42" s="92" t="n">
        <v>39</v>
      </c>
      <c r="B42" s="93" t="s">
        <v>502</v>
      </c>
      <c r="C42" s="94" t="s">
        <v>439</v>
      </c>
      <c r="D42" s="94" t="n">
        <v>9.42</v>
      </c>
      <c r="E42" s="94" t="n">
        <v>4.5</v>
      </c>
      <c r="F42" s="94" t="n">
        <v>18.17</v>
      </c>
      <c r="G42" s="114" t="n">
        <f aca="false">D42+E42+F42</f>
        <v>32.09</v>
      </c>
    </row>
    <row r="43" customFormat="false" ht="15.75" hidden="false" customHeight="true" outlineLevel="0" collapsed="false">
      <c r="A43" s="95" t="n">
        <v>40</v>
      </c>
      <c r="B43" s="96" t="s">
        <v>503</v>
      </c>
      <c r="C43" s="97" t="s">
        <v>442</v>
      </c>
      <c r="D43" s="97" t="n">
        <v>28.67</v>
      </c>
      <c r="E43" s="97" t="n">
        <v>0.5</v>
      </c>
      <c r="F43" s="97" t="n">
        <v>1.17</v>
      </c>
      <c r="G43" s="115" t="n">
        <f aca="false">D43+E43+F43</f>
        <v>30.34</v>
      </c>
    </row>
    <row r="44" customFormat="false" ht="15.75" hidden="false" customHeight="true" outlineLevel="0" collapsed="false">
      <c r="A44" s="92" t="n">
        <v>41</v>
      </c>
      <c r="B44" s="93" t="s">
        <v>525</v>
      </c>
      <c r="C44" s="94" t="s">
        <v>439</v>
      </c>
      <c r="D44" s="94" t="n">
        <v>27.17</v>
      </c>
      <c r="E44" s="94" t="n">
        <v>0.42</v>
      </c>
      <c r="F44" s="94" t="n">
        <v>0</v>
      </c>
      <c r="G44" s="114" t="n">
        <f aca="false">D44+E44+F44</f>
        <v>27.59</v>
      </c>
    </row>
    <row r="45" customFormat="false" ht="15.75" hidden="false" customHeight="true" outlineLevel="0" collapsed="false">
      <c r="A45" s="95" t="n">
        <v>42</v>
      </c>
      <c r="B45" s="96" t="s">
        <v>504</v>
      </c>
      <c r="C45" s="97" t="s">
        <v>439</v>
      </c>
      <c r="D45" s="97" t="n">
        <v>10.75</v>
      </c>
      <c r="E45" s="97" t="n">
        <v>7.67</v>
      </c>
      <c r="F45" s="97" t="n">
        <v>7.92</v>
      </c>
      <c r="G45" s="115" t="n">
        <f aca="false">D45+E45+F45</f>
        <v>26.34</v>
      </c>
    </row>
    <row r="46" customFormat="false" ht="15.75" hidden="false" customHeight="true" outlineLevel="0" collapsed="false">
      <c r="A46" s="92" t="n">
        <v>43</v>
      </c>
      <c r="B46" s="93" t="s">
        <v>526</v>
      </c>
      <c r="C46" s="94" t="s">
        <v>442</v>
      </c>
      <c r="D46" s="94" t="n">
        <v>4.83</v>
      </c>
      <c r="E46" s="94" t="n">
        <v>20</v>
      </c>
      <c r="F46" s="94" t="n">
        <v>0</v>
      </c>
      <c r="G46" s="114" t="n">
        <f aca="false">D46+E46+F46</f>
        <v>24.83</v>
      </c>
    </row>
    <row r="47" customFormat="false" ht="15.75" hidden="false" customHeight="true" outlineLevel="0" collapsed="false">
      <c r="A47" s="95" t="n">
        <v>44</v>
      </c>
      <c r="B47" s="96" t="s">
        <v>527</v>
      </c>
      <c r="C47" s="97" t="s">
        <v>454</v>
      </c>
      <c r="D47" s="97" t="n">
        <v>15.5</v>
      </c>
      <c r="E47" s="97" t="n">
        <v>8.42</v>
      </c>
      <c r="F47" s="97" t="n">
        <v>0</v>
      </c>
      <c r="G47" s="115" t="n">
        <f aca="false">D47+E47+F47</f>
        <v>23.92</v>
      </c>
    </row>
    <row r="48" customFormat="false" ht="15.75" hidden="false" customHeight="true" outlineLevel="0" collapsed="false">
      <c r="A48" s="92" t="n">
        <v>45</v>
      </c>
      <c r="B48" s="93" t="s">
        <v>505</v>
      </c>
      <c r="C48" s="94" t="s">
        <v>439</v>
      </c>
      <c r="D48" s="94" t="n">
        <v>12.75</v>
      </c>
      <c r="E48" s="94" t="n">
        <v>7.17</v>
      </c>
      <c r="F48" s="94" t="n">
        <v>3.83</v>
      </c>
      <c r="G48" s="114" t="n">
        <f aca="false">D48+E48+F48</f>
        <v>23.75</v>
      </c>
    </row>
    <row r="49" customFormat="false" ht="15.75" hidden="false" customHeight="true" outlineLevel="0" collapsed="false">
      <c r="A49" s="95" t="n">
        <v>46</v>
      </c>
      <c r="B49" s="96" t="s">
        <v>506</v>
      </c>
      <c r="C49" s="97" t="s">
        <v>439</v>
      </c>
      <c r="D49" s="97" t="n">
        <v>13.92</v>
      </c>
      <c r="E49" s="97" t="n">
        <v>2.83</v>
      </c>
      <c r="F49" s="97" t="n">
        <v>6.17</v>
      </c>
      <c r="G49" s="115" t="n">
        <f aca="false">D49+E49+F49</f>
        <v>22.92</v>
      </c>
    </row>
    <row r="50" customFormat="false" ht="15.75" hidden="false" customHeight="true" outlineLevel="0" collapsed="false">
      <c r="A50" s="92" t="n">
        <v>47</v>
      </c>
      <c r="B50" s="93" t="s">
        <v>538</v>
      </c>
      <c r="C50" s="94" t="s">
        <v>448</v>
      </c>
      <c r="D50" s="94" t="n">
        <v>22.83</v>
      </c>
      <c r="E50" s="94" t="n">
        <v>0</v>
      </c>
      <c r="F50" s="94" t="n">
        <v>0</v>
      </c>
      <c r="G50" s="114" t="n">
        <f aca="false">D50+E50+F50</f>
        <v>22.83</v>
      </c>
    </row>
    <row r="51" customFormat="false" ht="15.75" hidden="false" customHeight="true" outlineLevel="0" collapsed="false">
      <c r="A51" s="95" t="n">
        <v>48</v>
      </c>
      <c r="B51" s="96" t="s">
        <v>507</v>
      </c>
      <c r="C51" s="97" t="s">
        <v>442</v>
      </c>
      <c r="D51" s="97" t="n">
        <v>11.58</v>
      </c>
      <c r="E51" s="97" t="n">
        <v>8.88</v>
      </c>
      <c r="F51" s="97" t="n">
        <v>2</v>
      </c>
      <c r="G51" s="115" t="n">
        <f aca="false">D51+E51+F51</f>
        <v>22.46</v>
      </c>
    </row>
    <row r="52" customFormat="false" ht="15.75" hidden="false" customHeight="true" outlineLevel="0" collapsed="false">
      <c r="A52" s="92" t="n">
        <v>49</v>
      </c>
      <c r="B52" s="93" t="s">
        <v>528</v>
      </c>
      <c r="C52" s="94" t="s">
        <v>439</v>
      </c>
      <c r="D52" s="94" t="n">
        <v>6</v>
      </c>
      <c r="E52" s="94" t="n">
        <v>15.83</v>
      </c>
      <c r="F52" s="94" t="n">
        <v>0</v>
      </c>
      <c r="G52" s="114" t="n">
        <f aca="false">D52+E52+F52</f>
        <v>21.83</v>
      </c>
    </row>
    <row r="53" customFormat="false" ht="15.75" hidden="false" customHeight="true" outlineLevel="0" collapsed="false">
      <c r="A53" s="95" t="n">
        <v>50</v>
      </c>
      <c r="B53" s="96" t="s">
        <v>508</v>
      </c>
      <c r="C53" s="97" t="s">
        <v>439</v>
      </c>
      <c r="D53" s="97" t="n">
        <v>5.08</v>
      </c>
      <c r="E53" s="97" t="n">
        <v>15.67</v>
      </c>
      <c r="F53" s="97" t="n">
        <v>1</v>
      </c>
      <c r="G53" s="115" t="n">
        <f aca="false">D53+E53+F53</f>
        <v>21.75</v>
      </c>
    </row>
    <row r="54" customFormat="false" ht="15.75" hidden="false" customHeight="true" outlineLevel="0" collapsed="false">
      <c r="A54" s="92" t="n">
        <v>51</v>
      </c>
      <c r="B54" s="93" t="s">
        <v>529</v>
      </c>
      <c r="C54" s="94" t="s">
        <v>442</v>
      </c>
      <c r="D54" s="94" t="n">
        <v>0</v>
      </c>
      <c r="E54" s="94" t="n">
        <v>13.17</v>
      </c>
      <c r="F54" s="94" t="n">
        <v>8.5</v>
      </c>
      <c r="G54" s="114" t="n">
        <f aca="false">D54+E54+F54</f>
        <v>21.67</v>
      </c>
    </row>
    <row r="55" customFormat="false" ht="15.75" hidden="false" customHeight="true" outlineLevel="0" collapsed="false">
      <c r="A55" s="95" t="n">
        <v>52</v>
      </c>
      <c r="B55" s="96" t="s">
        <v>509</v>
      </c>
      <c r="C55" s="97" t="s">
        <v>439</v>
      </c>
      <c r="D55" s="97" t="n">
        <v>9.67</v>
      </c>
      <c r="E55" s="97" t="n">
        <v>5</v>
      </c>
      <c r="F55" s="97" t="n">
        <v>4.25</v>
      </c>
      <c r="G55" s="115" t="n">
        <f aca="false">D55+E55+F55</f>
        <v>18.92</v>
      </c>
    </row>
    <row r="56" customFormat="false" ht="15.75" hidden="false" customHeight="true" outlineLevel="0" collapsed="false">
      <c r="A56" s="92" t="n">
        <v>53</v>
      </c>
      <c r="B56" s="93" t="s">
        <v>510</v>
      </c>
      <c r="C56" s="94" t="s">
        <v>439</v>
      </c>
      <c r="D56" s="94" t="n">
        <v>7.67</v>
      </c>
      <c r="E56" s="94" t="n">
        <v>6.67</v>
      </c>
      <c r="F56" s="94" t="n">
        <v>2.83</v>
      </c>
      <c r="G56" s="114" t="n">
        <f aca="false">D56+E56+F56</f>
        <v>17.17</v>
      </c>
    </row>
    <row r="57" customFormat="false" ht="15.75" hidden="false" customHeight="true" outlineLevel="0" collapsed="false">
      <c r="A57" s="95" t="n">
        <v>54</v>
      </c>
      <c r="B57" s="96" t="s">
        <v>530</v>
      </c>
      <c r="C57" s="97" t="s">
        <v>442</v>
      </c>
      <c r="D57" s="97" t="n">
        <v>4.58</v>
      </c>
      <c r="E57" s="97" t="n">
        <v>12.08</v>
      </c>
      <c r="F57" s="97" t="n">
        <v>0</v>
      </c>
      <c r="G57" s="115" t="n">
        <f aca="false">D57+E57+F57</f>
        <v>16.66</v>
      </c>
    </row>
    <row r="58" customFormat="false" ht="15.75" hidden="false" customHeight="true" outlineLevel="0" collapsed="false">
      <c r="A58" s="92" t="n">
        <v>55</v>
      </c>
      <c r="B58" s="93" t="s">
        <v>511</v>
      </c>
      <c r="C58" s="94" t="s">
        <v>439</v>
      </c>
      <c r="D58" s="94" t="n">
        <v>7.42</v>
      </c>
      <c r="E58" s="94" t="n">
        <v>4.92</v>
      </c>
      <c r="F58" s="94" t="n">
        <v>2.83</v>
      </c>
      <c r="G58" s="114" t="n">
        <f aca="false">D58+E58+F58</f>
        <v>15.17</v>
      </c>
    </row>
    <row r="59" customFormat="false" ht="15.75" hidden="false" customHeight="true" outlineLevel="0" collapsed="false">
      <c r="A59" s="95" t="n">
        <v>56</v>
      </c>
      <c r="B59" s="96" t="s">
        <v>540</v>
      </c>
      <c r="C59" s="97" t="s">
        <v>448</v>
      </c>
      <c r="D59" s="97" t="n">
        <v>0</v>
      </c>
      <c r="E59" s="97" t="n">
        <v>0</v>
      </c>
      <c r="F59" s="97" t="n">
        <v>13.58</v>
      </c>
      <c r="G59" s="115" t="n">
        <f aca="false">D59+E59+F59</f>
        <v>13.58</v>
      </c>
    </row>
    <row r="60" customFormat="false" ht="15.75" hidden="false" customHeight="true" outlineLevel="0" collapsed="false">
      <c r="A60" s="92" t="n">
        <v>57</v>
      </c>
      <c r="B60" s="93" t="s">
        <v>512</v>
      </c>
      <c r="C60" s="94" t="s">
        <v>448</v>
      </c>
      <c r="D60" s="94" t="n">
        <v>8.17</v>
      </c>
      <c r="E60" s="94" t="n">
        <v>5.08</v>
      </c>
      <c r="F60" s="94" t="n">
        <v>0.17</v>
      </c>
      <c r="G60" s="114" t="n">
        <f aca="false">D60+E60+F60</f>
        <v>13.42</v>
      </c>
    </row>
    <row r="61" customFormat="false" ht="15.75" hidden="false" customHeight="true" outlineLevel="0" collapsed="false">
      <c r="A61" s="95" t="n">
        <v>58</v>
      </c>
      <c r="B61" s="96" t="s">
        <v>531</v>
      </c>
      <c r="C61" s="97" t="s">
        <v>442</v>
      </c>
      <c r="D61" s="97" t="n">
        <v>0.08</v>
      </c>
      <c r="E61" s="97" t="n">
        <v>8.83</v>
      </c>
      <c r="F61" s="97" t="n">
        <v>0</v>
      </c>
      <c r="G61" s="115" t="n">
        <f aca="false">D61+E61+F61</f>
        <v>8.91</v>
      </c>
    </row>
    <row r="62" customFormat="false" ht="15.75" hidden="false" customHeight="true" outlineLevel="0" collapsed="false">
      <c r="A62" s="92" t="n">
        <v>59</v>
      </c>
      <c r="B62" s="93" t="s">
        <v>532</v>
      </c>
      <c r="C62" s="94" t="s">
        <v>439</v>
      </c>
      <c r="D62" s="94" t="n">
        <v>4.83</v>
      </c>
      <c r="E62" s="94" t="n">
        <v>3.75</v>
      </c>
      <c r="F62" s="94" t="n">
        <v>0</v>
      </c>
      <c r="G62" s="114" t="n">
        <f aca="false">D62+E62+F62</f>
        <v>8.58</v>
      </c>
    </row>
    <row r="63" customFormat="false" ht="15.75" hidden="false" customHeight="true" outlineLevel="0" collapsed="false">
      <c r="A63" s="95" t="n">
        <v>60</v>
      </c>
      <c r="B63" s="96" t="s">
        <v>541</v>
      </c>
      <c r="C63" s="97" t="s">
        <v>442</v>
      </c>
      <c r="D63" s="97" t="n">
        <v>8.5</v>
      </c>
      <c r="E63" s="97" t="n">
        <v>0</v>
      </c>
      <c r="F63" s="97" t="n">
        <v>0</v>
      </c>
      <c r="G63" s="115" t="n">
        <f aca="false">D63+E63+F63</f>
        <v>8.5</v>
      </c>
    </row>
    <row r="64" customFormat="false" ht="15.75" hidden="false" customHeight="true" outlineLevel="0" collapsed="false">
      <c r="A64" s="92" t="n">
        <v>61</v>
      </c>
      <c r="B64" s="93" t="s">
        <v>533</v>
      </c>
      <c r="C64" s="94" t="s">
        <v>439</v>
      </c>
      <c r="D64" s="94" t="n">
        <v>6.08</v>
      </c>
      <c r="E64" s="94" t="n">
        <v>2.17</v>
      </c>
      <c r="F64" s="94" t="n">
        <v>0</v>
      </c>
      <c r="G64" s="114" t="n">
        <f aca="false">D64+E64+F64</f>
        <v>8.25</v>
      </c>
    </row>
    <row r="65" customFormat="false" ht="15.75" hidden="false" customHeight="true" outlineLevel="0" collapsed="false">
      <c r="A65" s="95" t="n">
        <v>62</v>
      </c>
      <c r="B65" s="96" t="s">
        <v>513</v>
      </c>
      <c r="C65" s="97" t="s">
        <v>439</v>
      </c>
      <c r="D65" s="97" t="n">
        <v>2.5</v>
      </c>
      <c r="E65" s="97" t="n">
        <v>5.25</v>
      </c>
      <c r="F65" s="97" t="n">
        <v>0.5</v>
      </c>
      <c r="G65" s="115" t="n">
        <f aca="false">D65+E65+F65</f>
        <v>8.25</v>
      </c>
    </row>
    <row r="66" customFormat="false" ht="15.75" hidden="false" customHeight="true" outlineLevel="0" collapsed="false">
      <c r="A66" s="92" t="n">
        <v>63</v>
      </c>
      <c r="B66" s="93" t="s">
        <v>534</v>
      </c>
      <c r="C66" s="94" t="s">
        <v>439</v>
      </c>
      <c r="D66" s="94" t="n">
        <v>4.25</v>
      </c>
      <c r="E66" s="94" t="n">
        <v>3</v>
      </c>
      <c r="F66" s="94" t="n">
        <v>0</v>
      </c>
      <c r="G66" s="114" t="n">
        <f aca="false">D66+E66+F66</f>
        <v>7.25</v>
      </c>
    </row>
    <row r="67" customFormat="false" ht="15.75" hidden="false" customHeight="true" outlineLevel="0" collapsed="false">
      <c r="A67" s="95" t="n">
        <v>64</v>
      </c>
      <c r="B67" s="96" t="s">
        <v>542</v>
      </c>
      <c r="C67" s="97" t="s">
        <v>446</v>
      </c>
      <c r="D67" s="97" t="n">
        <v>6.33</v>
      </c>
      <c r="E67" s="97" t="n">
        <v>0</v>
      </c>
      <c r="F67" s="97" t="n">
        <v>0</v>
      </c>
      <c r="G67" s="115" t="n">
        <f aca="false">D67+E67+F67</f>
        <v>6.33</v>
      </c>
    </row>
    <row r="68" customFormat="false" ht="15.75" hidden="false" customHeight="true" outlineLevel="0" collapsed="false">
      <c r="A68" s="92" t="n">
        <v>65</v>
      </c>
      <c r="B68" s="93" t="s">
        <v>535</v>
      </c>
      <c r="C68" s="94" t="s">
        <v>439</v>
      </c>
      <c r="D68" s="94" t="n">
        <v>2.17</v>
      </c>
      <c r="E68" s="94" t="n">
        <v>3.08</v>
      </c>
      <c r="F68" s="94" t="n">
        <v>0</v>
      </c>
      <c r="G68" s="114" t="n">
        <f aca="false">D68+E68+F68</f>
        <v>5.25</v>
      </c>
    </row>
    <row r="69" customFormat="false" ht="15.75" hidden="false" customHeight="true" outlineLevel="0" collapsed="false">
      <c r="A69" s="95" t="n">
        <v>66</v>
      </c>
      <c r="B69" s="96" t="s">
        <v>514</v>
      </c>
      <c r="C69" s="97" t="s">
        <v>439</v>
      </c>
      <c r="D69" s="97" t="n">
        <v>0.25</v>
      </c>
      <c r="E69" s="97" t="n">
        <v>0.5</v>
      </c>
      <c r="F69" s="97" t="n">
        <v>4.5</v>
      </c>
      <c r="G69" s="115" t="n">
        <f aca="false">D69+E69+F69</f>
        <v>5.25</v>
      </c>
    </row>
    <row r="70" customFormat="false" ht="15.75" hidden="false" customHeight="true" outlineLevel="0" collapsed="false">
      <c r="A70" s="92" t="n">
        <v>67</v>
      </c>
      <c r="B70" s="93" t="s">
        <v>543</v>
      </c>
      <c r="C70" s="94" t="s">
        <v>439</v>
      </c>
      <c r="D70" s="94" t="n">
        <v>0</v>
      </c>
      <c r="E70" s="94" t="n">
        <v>0</v>
      </c>
      <c r="F70" s="94" t="n">
        <v>5.17</v>
      </c>
      <c r="G70" s="114" t="n">
        <f aca="false">D70+E70+F70</f>
        <v>5.17</v>
      </c>
    </row>
    <row r="71" customFormat="false" ht="15.75" hidden="false" customHeight="true" outlineLevel="0" collapsed="false">
      <c r="A71" s="95" t="n">
        <v>68</v>
      </c>
      <c r="B71" s="96" t="s">
        <v>515</v>
      </c>
      <c r="C71" s="97" t="s">
        <v>439</v>
      </c>
      <c r="D71" s="97" t="n">
        <v>4.5</v>
      </c>
      <c r="E71" s="97" t="n">
        <v>0.33</v>
      </c>
      <c r="F71" s="97" t="n">
        <v>0.33</v>
      </c>
      <c r="G71" s="115" t="n">
        <f aca="false">D71+E71+F71</f>
        <v>5.16</v>
      </c>
    </row>
    <row r="72" customFormat="false" ht="15.75" hidden="false" customHeight="true" outlineLevel="0" collapsed="false">
      <c r="A72" s="92" t="n">
        <v>69</v>
      </c>
      <c r="B72" s="93" t="s">
        <v>544</v>
      </c>
      <c r="C72" s="94" t="s">
        <v>439</v>
      </c>
      <c r="D72" s="94" t="n">
        <v>0</v>
      </c>
      <c r="E72" s="94" t="n">
        <v>4.92</v>
      </c>
      <c r="F72" s="94" t="n">
        <v>0</v>
      </c>
      <c r="G72" s="114" t="n">
        <f aca="false">D72+E72+F72</f>
        <v>4.92</v>
      </c>
    </row>
    <row r="73" customFormat="false" ht="15.75" hidden="false" customHeight="true" outlineLevel="0" collapsed="false">
      <c r="A73" s="95" t="n">
        <v>70</v>
      </c>
      <c r="B73" s="96" t="s">
        <v>536</v>
      </c>
      <c r="C73" s="97" t="s">
        <v>439</v>
      </c>
      <c r="D73" s="97" t="n">
        <v>2</v>
      </c>
      <c r="E73" s="97" t="n">
        <v>2.33</v>
      </c>
      <c r="F73" s="97" t="n">
        <v>0</v>
      </c>
      <c r="G73" s="115" t="n">
        <f aca="false">D73+E73+F73</f>
        <v>4.33</v>
      </c>
    </row>
    <row r="74" customFormat="false" ht="15.75" hidden="false" customHeight="true" outlineLevel="0" collapsed="false">
      <c r="A74" s="92" t="n">
        <v>71</v>
      </c>
      <c r="B74" s="93" t="s">
        <v>516</v>
      </c>
      <c r="C74" s="94" t="s">
        <v>448</v>
      </c>
      <c r="D74" s="94" t="n">
        <v>2</v>
      </c>
      <c r="E74" s="94" t="n">
        <v>1</v>
      </c>
      <c r="F74" s="94" t="n">
        <v>1.25</v>
      </c>
      <c r="G74" s="114" t="n">
        <f aca="false">D74+E74+F74</f>
        <v>4.25</v>
      </c>
    </row>
    <row r="75" customFormat="false" ht="15.75" hidden="false" customHeight="true" outlineLevel="0" collapsed="false">
      <c r="A75" s="95" t="n">
        <v>72</v>
      </c>
      <c r="B75" s="96" t="s">
        <v>545</v>
      </c>
      <c r="C75" s="97" t="s">
        <v>442</v>
      </c>
      <c r="D75" s="97" t="n">
        <v>0</v>
      </c>
      <c r="E75" s="97" t="n">
        <v>4</v>
      </c>
      <c r="F75" s="97" t="n">
        <v>0</v>
      </c>
      <c r="G75" s="115" t="n">
        <f aca="false">D75+E75+F75</f>
        <v>4</v>
      </c>
    </row>
    <row r="76" customFormat="false" ht="15.75" hidden="false" customHeight="true" outlineLevel="0" collapsed="false">
      <c r="A76" s="92" t="n">
        <v>73</v>
      </c>
      <c r="B76" s="93" t="s">
        <v>517</v>
      </c>
      <c r="C76" s="94" t="s">
        <v>439</v>
      </c>
      <c r="D76" s="94" t="n">
        <v>2</v>
      </c>
      <c r="E76" s="94" t="n">
        <v>1</v>
      </c>
      <c r="F76" s="94" t="n">
        <v>0.75</v>
      </c>
      <c r="G76" s="114" t="n">
        <f aca="false">D76+E76+F76</f>
        <v>3.75</v>
      </c>
    </row>
    <row r="77" customFormat="false" ht="15.75" hidden="false" customHeight="true" outlineLevel="0" collapsed="false">
      <c r="A77" s="95" t="n">
        <v>74</v>
      </c>
      <c r="B77" s="96" t="s">
        <v>537</v>
      </c>
      <c r="C77" s="97" t="s">
        <v>439</v>
      </c>
      <c r="D77" s="97" t="n">
        <v>2</v>
      </c>
      <c r="E77" s="97" t="n">
        <v>1.17</v>
      </c>
      <c r="F77" s="97" t="n">
        <v>0</v>
      </c>
      <c r="G77" s="115" t="n">
        <f aca="false">D77+E77+F77</f>
        <v>3.17</v>
      </c>
    </row>
    <row r="78" customFormat="false" ht="15.75" hidden="false" customHeight="true" outlineLevel="0" collapsed="false">
      <c r="A78" s="92" t="n">
        <v>75</v>
      </c>
      <c r="B78" s="93" t="s">
        <v>471</v>
      </c>
      <c r="C78" s="94" t="s">
        <v>439</v>
      </c>
      <c r="D78" s="94" t="n">
        <v>2</v>
      </c>
      <c r="E78" s="94" t="n">
        <v>1</v>
      </c>
      <c r="F78" s="94" t="n">
        <v>0</v>
      </c>
      <c r="G78" s="114" t="n">
        <f aca="false">D78+E78+F78</f>
        <v>3</v>
      </c>
    </row>
    <row r="79" customFormat="false" ht="15.75" hidden="false" customHeight="true" outlineLevel="0" collapsed="false">
      <c r="A79" s="95" t="n">
        <v>76</v>
      </c>
      <c r="B79" s="96" t="s">
        <v>470</v>
      </c>
      <c r="C79" s="97" t="s">
        <v>439</v>
      </c>
      <c r="D79" s="97" t="n">
        <v>2.5</v>
      </c>
      <c r="E79" s="97" t="n">
        <v>0</v>
      </c>
      <c r="F79" s="97" t="n">
        <v>0</v>
      </c>
      <c r="G79" s="115" t="n">
        <f aca="false">D79+E79+F79</f>
        <v>2.5</v>
      </c>
    </row>
    <row r="80" customFormat="false" ht="15.75" hidden="false" customHeight="true" outlineLevel="0" collapsed="false">
      <c r="A80" s="92" t="n">
        <v>77</v>
      </c>
      <c r="B80" s="93" t="s">
        <v>469</v>
      </c>
      <c r="C80" s="94" t="s">
        <v>439</v>
      </c>
      <c r="D80" s="94" t="n">
        <v>0</v>
      </c>
      <c r="E80" s="94" t="n">
        <v>2.17</v>
      </c>
      <c r="F80" s="94" t="n">
        <v>0</v>
      </c>
      <c r="G80" s="114" t="n">
        <f aca="false">D80+E80+F80</f>
        <v>2.17</v>
      </c>
    </row>
    <row r="81" customFormat="false" ht="15.75" hidden="false" customHeight="true" outlineLevel="0" collapsed="false">
      <c r="A81" s="95" t="n">
        <v>78</v>
      </c>
      <c r="B81" s="96" t="s">
        <v>468</v>
      </c>
      <c r="C81" s="97" t="s">
        <v>448</v>
      </c>
      <c r="D81" s="97" t="n">
        <v>2</v>
      </c>
      <c r="E81" s="97" t="n">
        <v>0</v>
      </c>
      <c r="F81" s="97" t="n">
        <v>0</v>
      </c>
      <c r="G81" s="115" t="n">
        <f aca="false">D81+E81+F81</f>
        <v>2</v>
      </c>
    </row>
    <row r="82" customFormat="false" ht="15.75" hidden="false" customHeight="true" outlineLevel="0" collapsed="false">
      <c r="A82" s="92" t="n">
        <v>79</v>
      </c>
      <c r="B82" s="93" t="s">
        <v>467</v>
      </c>
      <c r="C82" s="94" t="s">
        <v>439</v>
      </c>
      <c r="D82" s="94" t="n">
        <v>1.83</v>
      </c>
      <c r="E82" s="94" t="n">
        <v>0</v>
      </c>
      <c r="F82" s="94" t="n">
        <v>0</v>
      </c>
      <c r="G82" s="114" t="n">
        <f aca="false">D82+E82+F82</f>
        <v>1.83</v>
      </c>
    </row>
    <row r="83" customFormat="false" ht="15.75" hidden="false" customHeight="true" outlineLevel="0" collapsed="false">
      <c r="A83" s="95" t="n">
        <v>80</v>
      </c>
      <c r="B83" s="96" t="s">
        <v>465</v>
      </c>
      <c r="C83" s="97" t="s">
        <v>446</v>
      </c>
      <c r="D83" s="97" t="n">
        <v>1</v>
      </c>
      <c r="E83" s="97" t="n">
        <v>0</v>
      </c>
      <c r="F83" s="97" t="n">
        <v>0</v>
      </c>
      <c r="G83" s="115" t="n">
        <f aca="false">D83+E83+F83</f>
        <v>1</v>
      </c>
    </row>
    <row r="84" customFormat="false" ht="15.75" hidden="false" customHeight="true" outlineLevel="0" collapsed="false">
      <c r="A84" s="92" t="n">
        <v>81</v>
      </c>
      <c r="B84" s="93" t="s">
        <v>466</v>
      </c>
      <c r="C84" s="94" t="s">
        <v>439</v>
      </c>
      <c r="D84" s="94" t="n">
        <v>1</v>
      </c>
      <c r="E84" s="94" t="n">
        <v>0</v>
      </c>
      <c r="F84" s="94" t="n">
        <v>0</v>
      </c>
      <c r="G84" s="114" t="n">
        <f aca="false">D84+E84+F84</f>
        <v>1</v>
      </c>
    </row>
    <row r="85" customFormat="false" ht="15.75" hidden="false" customHeight="true" outlineLevel="0" collapsed="false">
      <c r="A85" s="95" t="n">
        <v>82</v>
      </c>
      <c r="B85" s="96" t="s">
        <v>464</v>
      </c>
      <c r="C85" s="97" t="s">
        <v>448</v>
      </c>
      <c r="D85" s="97" t="n">
        <v>0.92</v>
      </c>
      <c r="E85" s="97" t="n">
        <v>0</v>
      </c>
      <c r="F85" s="97" t="n">
        <v>0</v>
      </c>
      <c r="G85" s="115" t="n">
        <f aca="false">D85+E85+F85</f>
        <v>0.92</v>
      </c>
    </row>
    <row r="86" customFormat="false" ht="15.75" hidden="false" customHeight="true" outlineLevel="0" collapsed="false">
      <c r="A86" s="92" t="n">
        <v>83</v>
      </c>
      <c r="B86" s="93" t="s">
        <v>462</v>
      </c>
      <c r="C86" s="94" t="s">
        <v>439</v>
      </c>
      <c r="D86" s="94" t="n">
        <v>0.5</v>
      </c>
      <c r="E86" s="94" t="n">
        <v>0</v>
      </c>
      <c r="F86" s="94" t="n">
        <v>0</v>
      </c>
      <c r="G86" s="114" t="n">
        <f aca="false">D86+E86+F86</f>
        <v>0.5</v>
      </c>
    </row>
    <row r="87" customFormat="false" ht="15.75" hidden="false" customHeight="true" outlineLevel="0" collapsed="false">
      <c r="A87" s="95" t="n">
        <v>84</v>
      </c>
      <c r="B87" s="96" t="s">
        <v>463</v>
      </c>
      <c r="C87" s="97" t="s">
        <v>439</v>
      </c>
      <c r="D87" s="97" t="n">
        <v>0</v>
      </c>
      <c r="E87" s="97" t="n">
        <v>0</v>
      </c>
      <c r="F87" s="97" t="n">
        <v>0.5</v>
      </c>
      <c r="G87" s="115" t="n">
        <f aca="false">D87+E87+F87</f>
        <v>0.5</v>
      </c>
    </row>
    <row r="88" customFormat="false" ht="15.75" hidden="false" customHeight="true" outlineLevel="0" collapsed="false">
      <c r="B88" s="38" t="s">
        <v>455</v>
      </c>
      <c r="D88" s="39" t="n">
        <v>1546.25</v>
      </c>
      <c r="E88" s="39" t="n">
        <v>1470.03</v>
      </c>
      <c r="F88" s="39" t="n">
        <v>639.3</v>
      </c>
      <c r="G88" s="39" t="n">
        <v>3655.58</v>
      </c>
    </row>
    <row r="89" customFormat="false" ht="15.75" hidden="false" customHeight="true" outlineLevel="0" collapsed="false"/>
    <row r="90" customFormat="false" ht="15.75" hidden="false" customHeight="true" outlineLevel="0" collapsed="false">
      <c r="A90" s="45" t="s">
        <v>159</v>
      </c>
      <c r="B90" s="45"/>
      <c r="C90" s="45"/>
      <c r="D90" s="45"/>
      <c r="E90" s="45"/>
      <c r="F90" s="45"/>
      <c r="G90" s="45"/>
    </row>
    <row r="91" customFormat="false" ht="15.75" hidden="false" customHeight="true" outlineLevel="0" collapsed="false">
      <c r="A91" s="46" t="s">
        <v>599</v>
      </c>
      <c r="B91" s="46"/>
      <c r="C91" s="46"/>
      <c r="D91" s="46"/>
      <c r="E91" s="46"/>
      <c r="F91" s="46"/>
      <c r="G91" s="46"/>
    </row>
    <row r="92" customFormat="false" ht="15.75" hidden="false" customHeight="true" outlineLevel="0" collapsed="false">
      <c r="A92" s="46" t="s">
        <v>600</v>
      </c>
      <c r="B92" s="46"/>
      <c r="C92" s="46"/>
      <c r="D92" s="46"/>
      <c r="E92" s="46"/>
      <c r="F92" s="46"/>
      <c r="G92" s="46"/>
    </row>
    <row r="93" customFormat="false" ht="15.75" hidden="false" customHeight="true" outlineLevel="0" collapsed="false">
      <c r="A93" s="46" t="s">
        <v>601</v>
      </c>
      <c r="B93" s="46"/>
      <c r="C93" s="46"/>
      <c r="D93" s="46"/>
      <c r="E93" s="46"/>
      <c r="F93" s="46"/>
      <c r="G93" s="46"/>
    </row>
    <row r="94" customFormat="false" ht="15.75" hidden="false" customHeight="true" outlineLevel="0" collapsed="false">
      <c r="A94" s="46" t="s">
        <v>602</v>
      </c>
      <c r="B94" s="46"/>
      <c r="C94" s="46"/>
      <c r="D94" s="46"/>
      <c r="E94" s="46"/>
      <c r="F94" s="46"/>
      <c r="G94" s="46"/>
    </row>
    <row r="95" customFormat="false" ht="15.75" hidden="false" customHeight="true" outlineLevel="0" collapsed="false">
      <c r="A95" s="46" t="s">
        <v>603</v>
      </c>
      <c r="B95" s="46"/>
      <c r="C95" s="46"/>
      <c r="D95" s="46"/>
      <c r="E95" s="46"/>
      <c r="F95" s="46"/>
      <c r="G95" s="46"/>
    </row>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3:G87"/>
  <mergeCells count="8">
    <mergeCell ref="A1:G1"/>
    <mergeCell ref="A2:G2"/>
    <mergeCell ref="A90:G90"/>
    <mergeCell ref="A91:G91"/>
    <mergeCell ref="A92:G92"/>
    <mergeCell ref="A93:G93"/>
    <mergeCell ref="A94:G94"/>
    <mergeCell ref="A95:G9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28"/>
    <col collapsed="false" customWidth="true" hidden="false" outlineLevel="0" max="2" min="2" style="1" width="40"/>
    <col collapsed="false" customWidth="true" hidden="false" outlineLevel="0" max="3" min="3" style="1" width="12"/>
    <col collapsed="false" customWidth="true" hidden="false" outlineLevel="0" max="4" min="4" style="1" width="18"/>
    <col collapsed="false" customWidth="true" hidden="false" outlineLevel="0" max="5" min="5" style="1" width="20"/>
    <col collapsed="false" customWidth="true" hidden="false" outlineLevel="0" max="26" min="6" style="1" width="8.71"/>
  </cols>
  <sheetData>
    <row r="1" customFormat="false" ht="39.75" hidden="false" customHeight="true" outlineLevel="0" collapsed="false">
      <c r="A1" s="47" t="s">
        <v>604</v>
      </c>
      <c r="B1" s="47"/>
      <c r="C1" s="47"/>
      <c r="D1" s="47"/>
      <c r="E1" s="47"/>
    </row>
    <row r="2" customFormat="false" ht="19.5" hidden="false" customHeight="true" outlineLevel="0" collapsed="false">
      <c r="A2" s="20" t="s">
        <v>430</v>
      </c>
      <c r="B2" s="20"/>
      <c r="C2" s="20"/>
      <c r="D2" s="20"/>
      <c r="E2" s="20"/>
    </row>
    <row r="3" customFormat="false" ht="30" hidden="false" customHeight="true" outlineLevel="0" collapsed="false">
      <c r="A3" s="102" t="s">
        <v>605</v>
      </c>
      <c r="B3" s="102" t="s">
        <v>431</v>
      </c>
      <c r="C3" s="102" t="s">
        <v>432</v>
      </c>
      <c r="D3" s="102" t="s">
        <v>606</v>
      </c>
      <c r="E3" s="102" t="s">
        <v>607</v>
      </c>
    </row>
    <row r="4" customFormat="false" ht="15" hidden="false" customHeight="true" outlineLevel="0" collapsed="false">
      <c r="A4" s="93" t="s">
        <v>608</v>
      </c>
      <c r="B4" s="93" t="s">
        <v>438</v>
      </c>
      <c r="C4" s="94" t="s">
        <v>439</v>
      </c>
      <c r="D4" s="94" t="n">
        <v>165.6</v>
      </c>
      <c r="E4" s="92" t="n">
        <v>313.91</v>
      </c>
    </row>
    <row r="5" customFormat="false" ht="15" hidden="false" customHeight="true" outlineLevel="0" collapsed="false">
      <c r="A5" s="96" t="s">
        <v>608</v>
      </c>
      <c r="B5" s="96" t="s">
        <v>441</v>
      </c>
      <c r="C5" s="97" t="s">
        <v>442</v>
      </c>
      <c r="D5" s="97" t="n">
        <v>115</v>
      </c>
      <c r="E5" s="95" t="n">
        <v>280.92</v>
      </c>
    </row>
    <row r="6" customFormat="false" ht="15" hidden="false" customHeight="true" outlineLevel="0" collapsed="false">
      <c r="A6" s="93" t="s">
        <v>608</v>
      </c>
      <c r="B6" s="93" t="s">
        <v>443</v>
      </c>
      <c r="C6" s="94" t="s">
        <v>442</v>
      </c>
      <c r="D6" s="94" t="n">
        <v>59</v>
      </c>
      <c r="E6" s="92" t="n">
        <v>216.42</v>
      </c>
    </row>
    <row r="7" customFormat="false" ht="15" hidden="false" customHeight="true" outlineLevel="0" collapsed="false">
      <c r="A7" s="96" t="s">
        <v>608</v>
      </c>
      <c r="B7" s="96" t="s">
        <v>444</v>
      </c>
      <c r="C7" s="97" t="s">
        <v>439</v>
      </c>
      <c r="D7" s="97" t="n">
        <v>107.92</v>
      </c>
      <c r="E7" s="95" t="n">
        <v>176.67</v>
      </c>
    </row>
    <row r="8" customFormat="false" ht="15" hidden="false" customHeight="true" outlineLevel="0" collapsed="false">
      <c r="A8" s="93" t="s">
        <v>608</v>
      </c>
      <c r="B8" s="93" t="s">
        <v>445</v>
      </c>
      <c r="C8" s="94" t="s">
        <v>446</v>
      </c>
      <c r="D8" s="94" t="n">
        <v>98</v>
      </c>
      <c r="E8" s="92" t="n">
        <v>163.58</v>
      </c>
    </row>
    <row r="9" customFormat="false" ht="15" hidden="false" customHeight="true" outlineLevel="0" collapsed="false">
      <c r="A9" s="96" t="s">
        <v>608</v>
      </c>
      <c r="B9" s="96" t="s">
        <v>447</v>
      </c>
      <c r="C9" s="97" t="s">
        <v>448</v>
      </c>
      <c r="D9" s="97" t="n">
        <v>35.58</v>
      </c>
      <c r="E9" s="95" t="n">
        <v>118.95</v>
      </c>
    </row>
    <row r="10" customFormat="false" ht="15" hidden="false" customHeight="true" outlineLevel="0" collapsed="false">
      <c r="A10" s="93" t="s">
        <v>608</v>
      </c>
      <c r="B10" s="93" t="s">
        <v>449</v>
      </c>
      <c r="C10" s="94" t="s">
        <v>439</v>
      </c>
      <c r="D10" s="94" t="n">
        <v>54.87</v>
      </c>
      <c r="E10" s="92" t="n">
        <v>108.7</v>
      </c>
    </row>
    <row r="11" customFormat="false" ht="15" hidden="false" customHeight="true" outlineLevel="0" collapsed="false">
      <c r="A11" s="96" t="s">
        <v>608</v>
      </c>
      <c r="B11" s="96" t="s">
        <v>450</v>
      </c>
      <c r="C11" s="97" t="s">
        <v>439</v>
      </c>
      <c r="D11" s="97" t="n">
        <v>25.17</v>
      </c>
      <c r="E11" s="95" t="n">
        <v>101.25</v>
      </c>
    </row>
    <row r="12" customFormat="false" ht="15" hidden="false" customHeight="true" outlineLevel="0" collapsed="false">
      <c r="A12" s="93" t="s">
        <v>608</v>
      </c>
      <c r="B12" s="93" t="s">
        <v>451</v>
      </c>
      <c r="C12" s="94" t="s">
        <v>442</v>
      </c>
      <c r="D12" s="94" t="n">
        <v>73.17</v>
      </c>
      <c r="E12" s="92" t="n">
        <v>93.87</v>
      </c>
    </row>
    <row r="13" customFormat="false" ht="15" hidden="false" customHeight="true" outlineLevel="0" collapsed="false">
      <c r="A13" s="96" t="s">
        <v>608</v>
      </c>
      <c r="B13" s="96" t="s">
        <v>480</v>
      </c>
      <c r="C13" s="97" t="s">
        <v>439</v>
      </c>
      <c r="D13" s="97" t="n">
        <v>58.42</v>
      </c>
      <c r="E13" s="95" t="n">
        <v>83.75</v>
      </c>
    </row>
    <row r="14" customFormat="false" ht="15" hidden="false" customHeight="true" outlineLevel="0" collapsed="false">
      <c r="A14" s="93" t="s">
        <v>608</v>
      </c>
      <c r="B14" s="93" t="s">
        <v>481</v>
      </c>
      <c r="C14" s="94" t="s">
        <v>448</v>
      </c>
      <c r="D14" s="94" t="n">
        <v>32.83</v>
      </c>
      <c r="E14" s="92" t="n">
        <v>80</v>
      </c>
    </row>
    <row r="15" customFormat="false" ht="15" hidden="false" customHeight="true" outlineLevel="0" collapsed="false">
      <c r="A15" s="96" t="s">
        <v>608</v>
      </c>
      <c r="B15" s="96" t="s">
        <v>482</v>
      </c>
      <c r="C15" s="97" t="s">
        <v>439</v>
      </c>
      <c r="D15" s="97" t="n">
        <v>37.17</v>
      </c>
      <c r="E15" s="95" t="n">
        <v>78.6</v>
      </c>
    </row>
    <row r="16" customFormat="false" ht="15" hidden="false" customHeight="true" outlineLevel="0" collapsed="false">
      <c r="A16" s="93" t="s">
        <v>608</v>
      </c>
      <c r="B16" s="93" t="s">
        <v>483</v>
      </c>
      <c r="C16" s="94" t="s">
        <v>439</v>
      </c>
      <c r="D16" s="94" t="n">
        <v>35</v>
      </c>
      <c r="E16" s="92" t="n">
        <v>74.12</v>
      </c>
    </row>
    <row r="17" customFormat="false" ht="15" hidden="false" customHeight="true" outlineLevel="0" collapsed="false">
      <c r="A17" s="96" t="s">
        <v>608</v>
      </c>
      <c r="B17" s="96" t="s">
        <v>484</v>
      </c>
      <c r="C17" s="97" t="s">
        <v>439</v>
      </c>
      <c r="D17" s="97" t="n">
        <v>18.5</v>
      </c>
      <c r="E17" s="95" t="n">
        <v>71.92</v>
      </c>
    </row>
    <row r="18" customFormat="false" ht="15" hidden="false" customHeight="true" outlineLevel="0" collapsed="false">
      <c r="A18" s="93" t="s">
        <v>608</v>
      </c>
      <c r="B18" s="93" t="s">
        <v>519</v>
      </c>
      <c r="C18" s="94" t="s">
        <v>448</v>
      </c>
      <c r="D18" s="94" t="n">
        <v>40.25</v>
      </c>
      <c r="E18" s="92" t="n">
        <v>70.8</v>
      </c>
    </row>
    <row r="19" customFormat="false" ht="15" hidden="false" customHeight="true" outlineLevel="0" collapsed="false">
      <c r="A19" s="96" t="s">
        <v>608</v>
      </c>
      <c r="B19" s="96" t="s">
        <v>485</v>
      </c>
      <c r="C19" s="97" t="s">
        <v>439</v>
      </c>
      <c r="D19" s="97" t="n">
        <v>26.25</v>
      </c>
      <c r="E19" s="95" t="n">
        <v>70.67</v>
      </c>
    </row>
    <row r="20" customFormat="false" ht="15" hidden="false" customHeight="true" outlineLevel="0" collapsed="false">
      <c r="A20" s="93" t="s">
        <v>608</v>
      </c>
      <c r="B20" s="93" t="s">
        <v>486</v>
      </c>
      <c r="C20" s="94" t="s">
        <v>446</v>
      </c>
      <c r="D20" s="94" t="n">
        <v>34.25</v>
      </c>
      <c r="E20" s="92" t="n">
        <v>67.34</v>
      </c>
    </row>
    <row r="21" customFormat="false" ht="15.75" hidden="false" customHeight="true" outlineLevel="0" collapsed="false">
      <c r="A21" s="96" t="s">
        <v>608</v>
      </c>
      <c r="B21" s="96" t="s">
        <v>487</v>
      </c>
      <c r="C21" s="97" t="s">
        <v>439</v>
      </c>
      <c r="D21" s="97" t="n">
        <v>38.5</v>
      </c>
      <c r="E21" s="95" t="n">
        <v>62.34</v>
      </c>
    </row>
    <row r="22" customFormat="false" ht="15.75" hidden="false" customHeight="true" outlineLevel="0" collapsed="false">
      <c r="A22" s="93" t="s">
        <v>608</v>
      </c>
      <c r="B22" s="93" t="s">
        <v>488</v>
      </c>
      <c r="C22" s="94" t="s">
        <v>448</v>
      </c>
      <c r="D22" s="94" t="n">
        <v>22.33</v>
      </c>
      <c r="E22" s="92" t="n">
        <v>54.83</v>
      </c>
    </row>
    <row r="23" customFormat="false" ht="15.75" hidden="false" customHeight="true" outlineLevel="0" collapsed="false">
      <c r="A23" s="96" t="s">
        <v>608</v>
      </c>
      <c r="B23" s="96" t="s">
        <v>489</v>
      </c>
      <c r="C23" s="97" t="s">
        <v>439</v>
      </c>
      <c r="D23" s="97" t="n">
        <v>4</v>
      </c>
      <c r="E23" s="95" t="n">
        <v>52.67</v>
      </c>
    </row>
    <row r="24" customFormat="false" ht="15.75" hidden="false" customHeight="true" outlineLevel="0" collapsed="false">
      <c r="A24" s="93" t="s">
        <v>608</v>
      </c>
      <c r="B24" s="93" t="s">
        <v>490</v>
      </c>
      <c r="C24" s="94" t="s">
        <v>439</v>
      </c>
      <c r="D24" s="94" t="n">
        <v>28.67</v>
      </c>
      <c r="E24" s="92" t="n">
        <v>51.27</v>
      </c>
    </row>
    <row r="25" customFormat="false" ht="15.75" hidden="false" customHeight="true" outlineLevel="0" collapsed="false">
      <c r="A25" s="96" t="s">
        <v>608</v>
      </c>
      <c r="B25" s="96" t="s">
        <v>491</v>
      </c>
      <c r="C25" s="97" t="s">
        <v>442</v>
      </c>
      <c r="D25" s="97" t="n">
        <v>18</v>
      </c>
      <c r="E25" s="95" t="n">
        <v>49.83</v>
      </c>
    </row>
    <row r="26" customFormat="false" ht="15.75" hidden="false" customHeight="true" outlineLevel="0" collapsed="false">
      <c r="A26" s="93" t="s">
        <v>608</v>
      </c>
      <c r="B26" s="93" t="s">
        <v>492</v>
      </c>
      <c r="C26" s="94" t="s">
        <v>439</v>
      </c>
      <c r="D26" s="94" t="n">
        <v>23.92</v>
      </c>
      <c r="E26" s="92" t="n">
        <v>47.5</v>
      </c>
    </row>
    <row r="27" customFormat="false" ht="15.75" hidden="false" customHeight="true" outlineLevel="0" collapsed="false">
      <c r="A27" s="96" t="s">
        <v>608</v>
      </c>
      <c r="B27" s="96" t="s">
        <v>493</v>
      </c>
      <c r="C27" s="97" t="s">
        <v>448</v>
      </c>
      <c r="D27" s="97" t="n">
        <v>26.25</v>
      </c>
      <c r="E27" s="95" t="n">
        <v>42.75</v>
      </c>
    </row>
    <row r="28" customFormat="false" ht="15.75" hidden="false" customHeight="true" outlineLevel="0" collapsed="false">
      <c r="A28" s="93" t="s">
        <v>608</v>
      </c>
      <c r="B28" s="93" t="s">
        <v>494</v>
      </c>
      <c r="C28" s="94" t="s">
        <v>442</v>
      </c>
      <c r="D28" s="94" t="n">
        <v>2.5</v>
      </c>
      <c r="E28" s="92" t="n">
        <v>41.75</v>
      </c>
    </row>
    <row r="29" customFormat="false" ht="15.75" hidden="false" customHeight="true" outlineLevel="0" collapsed="false">
      <c r="A29" s="96" t="s">
        <v>608</v>
      </c>
      <c r="B29" s="96" t="s">
        <v>495</v>
      </c>
      <c r="C29" s="97" t="s">
        <v>446</v>
      </c>
      <c r="D29" s="97" t="n">
        <v>7.75</v>
      </c>
      <c r="E29" s="95" t="n">
        <v>40.75</v>
      </c>
    </row>
    <row r="30" customFormat="false" ht="15.75" hidden="false" customHeight="true" outlineLevel="0" collapsed="false">
      <c r="A30" s="93" t="s">
        <v>608</v>
      </c>
      <c r="B30" s="93" t="s">
        <v>496</v>
      </c>
      <c r="C30" s="94" t="s">
        <v>439</v>
      </c>
      <c r="D30" s="94" t="n">
        <v>26.5</v>
      </c>
      <c r="E30" s="92" t="n">
        <v>39.42</v>
      </c>
    </row>
    <row r="31" customFormat="false" ht="15.75" hidden="false" customHeight="true" outlineLevel="0" collapsed="false">
      <c r="A31" s="96" t="s">
        <v>608</v>
      </c>
      <c r="B31" s="96" t="s">
        <v>497</v>
      </c>
      <c r="C31" s="97" t="s">
        <v>448</v>
      </c>
      <c r="D31" s="97" t="n">
        <v>11.5</v>
      </c>
      <c r="E31" s="95" t="n">
        <v>37.67</v>
      </c>
    </row>
    <row r="32" customFormat="false" ht="15.75" hidden="false" customHeight="true" outlineLevel="0" collapsed="false">
      <c r="A32" s="93" t="s">
        <v>608</v>
      </c>
      <c r="B32" s="93" t="s">
        <v>523</v>
      </c>
      <c r="C32" s="94" t="s">
        <v>446</v>
      </c>
      <c r="D32" s="94" t="n">
        <v>9.1</v>
      </c>
      <c r="E32" s="92" t="n">
        <v>36.43</v>
      </c>
    </row>
    <row r="33" customFormat="false" ht="15.75" hidden="false" customHeight="true" outlineLevel="0" collapsed="false">
      <c r="A33" s="96" t="s">
        <v>608</v>
      </c>
      <c r="B33" s="96" t="s">
        <v>498</v>
      </c>
      <c r="C33" s="97" t="s">
        <v>448</v>
      </c>
      <c r="D33" s="97" t="n">
        <v>9.42</v>
      </c>
      <c r="E33" s="95" t="n">
        <v>36.34</v>
      </c>
    </row>
    <row r="34" customFormat="false" ht="15.75" hidden="false" customHeight="true" outlineLevel="0" collapsed="false">
      <c r="A34" s="93" t="s">
        <v>608</v>
      </c>
      <c r="B34" s="93" t="s">
        <v>499</v>
      </c>
      <c r="C34" s="94" t="s">
        <v>448</v>
      </c>
      <c r="D34" s="94" t="n">
        <v>12.25</v>
      </c>
      <c r="E34" s="92" t="n">
        <v>35.58</v>
      </c>
    </row>
    <row r="35" customFormat="false" ht="15.75" hidden="false" customHeight="true" outlineLevel="0" collapsed="false">
      <c r="A35" s="96" t="s">
        <v>608</v>
      </c>
      <c r="B35" s="96" t="s">
        <v>500</v>
      </c>
      <c r="C35" s="97" t="s">
        <v>446</v>
      </c>
      <c r="D35" s="97" t="n">
        <v>6.33</v>
      </c>
      <c r="E35" s="95" t="n">
        <v>34.66</v>
      </c>
    </row>
    <row r="36" customFormat="false" ht="15.75" hidden="false" customHeight="true" outlineLevel="0" collapsed="false">
      <c r="A36" s="93" t="s">
        <v>608</v>
      </c>
      <c r="B36" s="93" t="s">
        <v>501</v>
      </c>
      <c r="C36" s="94" t="s">
        <v>439</v>
      </c>
      <c r="D36" s="94" t="n">
        <v>17</v>
      </c>
      <c r="E36" s="92" t="n">
        <v>33.83</v>
      </c>
    </row>
    <row r="37" customFormat="false" ht="15.75" hidden="false" customHeight="true" outlineLevel="0" collapsed="false">
      <c r="A37" s="96" t="s">
        <v>608</v>
      </c>
      <c r="B37" s="96" t="s">
        <v>502</v>
      </c>
      <c r="C37" s="97" t="s">
        <v>439</v>
      </c>
      <c r="D37" s="97" t="n">
        <v>9.42</v>
      </c>
      <c r="E37" s="95" t="n">
        <v>32.09</v>
      </c>
    </row>
    <row r="38" customFormat="false" ht="15.75" hidden="false" customHeight="true" outlineLevel="0" collapsed="false">
      <c r="A38" s="93" t="s">
        <v>608</v>
      </c>
      <c r="B38" s="93" t="s">
        <v>503</v>
      </c>
      <c r="C38" s="94" t="s">
        <v>442</v>
      </c>
      <c r="D38" s="94" t="n">
        <v>28.67</v>
      </c>
      <c r="E38" s="92" t="n">
        <v>30.34</v>
      </c>
    </row>
    <row r="39" customFormat="false" ht="15.75" hidden="false" customHeight="true" outlineLevel="0" collapsed="false">
      <c r="A39" s="96" t="s">
        <v>608</v>
      </c>
      <c r="B39" s="96" t="s">
        <v>525</v>
      </c>
      <c r="C39" s="97" t="s">
        <v>439</v>
      </c>
      <c r="D39" s="97" t="n">
        <v>27.17</v>
      </c>
      <c r="E39" s="95" t="n">
        <v>27.59</v>
      </c>
    </row>
    <row r="40" customFormat="false" ht="15.75" hidden="false" customHeight="true" outlineLevel="0" collapsed="false">
      <c r="A40" s="93" t="s">
        <v>608</v>
      </c>
      <c r="B40" s="93" t="s">
        <v>504</v>
      </c>
      <c r="C40" s="94" t="s">
        <v>439</v>
      </c>
      <c r="D40" s="94" t="n">
        <v>10.75</v>
      </c>
      <c r="E40" s="92" t="n">
        <v>26.34</v>
      </c>
    </row>
    <row r="41" customFormat="false" ht="15.75" hidden="false" customHeight="true" outlineLevel="0" collapsed="false">
      <c r="A41" s="96" t="s">
        <v>608</v>
      </c>
      <c r="B41" s="96" t="s">
        <v>526</v>
      </c>
      <c r="C41" s="97" t="s">
        <v>442</v>
      </c>
      <c r="D41" s="97" t="n">
        <v>4.83</v>
      </c>
      <c r="E41" s="95" t="n">
        <v>24.83</v>
      </c>
    </row>
    <row r="42" customFormat="false" ht="15.75" hidden="false" customHeight="true" outlineLevel="0" collapsed="false">
      <c r="A42" s="93" t="s">
        <v>608</v>
      </c>
      <c r="B42" s="93" t="s">
        <v>527</v>
      </c>
      <c r="C42" s="94" t="s">
        <v>454</v>
      </c>
      <c r="D42" s="94" t="n">
        <v>15.5</v>
      </c>
      <c r="E42" s="92" t="n">
        <v>23.92</v>
      </c>
    </row>
    <row r="43" customFormat="false" ht="15.75" hidden="false" customHeight="true" outlineLevel="0" collapsed="false">
      <c r="A43" s="96" t="s">
        <v>608</v>
      </c>
      <c r="B43" s="96" t="s">
        <v>505</v>
      </c>
      <c r="C43" s="97" t="s">
        <v>439</v>
      </c>
      <c r="D43" s="97" t="n">
        <v>12.75</v>
      </c>
      <c r="E43" s="95" t="n">
        <v>23.75</v>
      </c>
    </row>
    <row r="44" customFormat="false" ht="15.75" hidden="false" customHeight="true" outlineLevel="0" collapsed="false">
      <c r="A44" s="93" t="s">
        <v>608</v>
      </c>
      <c r="B44" s="93" t="s">
        <v>506</v>
      </c>
      <c r="C44" s="94" t="s">
        <v>439</v>
      </c>
      <c r="D44" s="94" t="n">
        <v>13.92</v>
      </c>
      <c r="E44" s="92" t="n">
        <v>22.92</v>
      </c>
    </row>
    <row r="45" customFormat="false" ht="15.75" hidden="false" customHeight="true" outlineLevel="0" collapsed="false">
      <c r="A45" s="96" t="s">
        <v>608</v>
      </c>
      <c r="B45" s="96" t="s">
        <v>538</v>
      </c>
      <c r="C45" s="97" t="s">
        <v>448</v>
      </c>
      <c r="D45" s="97" t="n">
        <v>22.83</v>
      </c>
      <c r="E45" s="95" t="n">
        <v>22.83</v>
      </c>
    </row>
    <row r="46" customFormat="false" ht="15.75" hidden="false" customHeight="true" outlineLevel="0" collapsed="false">
      <c r="A46" s="93" t="s">
        <v>608</v>
      </c>
      <c r="B46" s="93" t="s">
        <v>507</v>
      </c>
      <c r="C46" s="94" t="s">
        <v>442</v>
      </c>
      <c r="D46" s="94" t="n">
        <v>11.58</v>
      </c>
      <c r="E46" s="92" t="n">
        <v>22.46</v>
      </c>
    </row>
    <row r="47" customFormat="false" ht="15.75" hidden="false" customHeight="true" outlineLevel="0" collapsed="false">
      <c r="A47" s="96" t="s">
        <v>608</v>
      </c>
      <c r="B47" s="96" t="s">
        <v>528</v>
      </c>
      <c r="C47" s="97" t="s">
        <v>439</v>
      </c>
      <c r="D47" s="97" t="n">
        <v>6</v>
      </c>
      <c r="E47" s="95" t="n">
        <v>21.83</v>
      </c>
    </row>
    <row r="48" customFormat="false" ht="15.75" hidden="false" customHeight="true" outlineLevel="0" collapsed="false">
      <c r="A48" s="93" t="s">
        <v>608</v>
      </c>
      <c r="B48" s="93" t="s">
        <v>508</v>
      </c>
      <c r="C48" s="94" t="s">
        <v>439</v>
      </c>
      <c r="D48" s="94" t="n">
        <v>5.08</v>
      </c>
      <c r="E48" s="92" t="n">
        <v>21.75</v>
      </c>
    </row>
    <row r="49" customFormat="false" ht="15.75" hidden="false" customHeight="true" outlineLevel="0" collapsed="false">
      <c r="A49" s="96" t="s">
        <v>608</v>
      </c>
      <c r="B49" s="96" t="s">
        <v>509</v>
      </c>
      <c r="C49" s="97" t="s">
        <v>439</v>
      </c>
      <c r="D49" s="97" t="n">
        <v>9.67</v>
      </c>
      <c r="E49" s="95" t="n">
        <v>18.92</v>
      </c>
    </row>
    <row r="50" customFormat="false" ht="15.75" hidden="false" customHeight="true" outlineLevel="0" collapsed="false">
      <c r="A50" s="93" t="s">
        <v>608</v>
      </c>
      <c r="B50" s="93" t="s">
        <v>510</v>
      </c>
      <c r="C50" s="94" t="s">
        <v>439</v>
      </c>
      <c r="D50" s="94" t="n">
        <v>7.67</v>
      </c>
      <c r="E50" s="92" t="n">
        <v>17.17</v>
      </c>
    </row>
    <row r="51" customFormat="false" ht="15.75" hidden="false" customHeight="true" outlineLevel="0" collapsed="false">
      <c r="A51" s="96" t="s">
        <v>608</v>
      </c>
      <c r="B51" s="96" t="s">
        <v>530</v>
      </c>
      <c r="C51" s="97" t="s">
        <v>442</v>
      </c>
      <c r="D51" s="97" t="n">
        <v>4.58</v>
      </c>
      <c r="E51" s="95" t="n">
        <v>16.66</v>
      </c>
    </row>
    <row r="52" customFormat="false" ht="15.75" hidden="false" customHeight="true" outlineLevel="0" collapsed="false">
      <c r="A52" s="93" t="s">
        <v>608</v>
      </c>
      <c r="B52" s="93" t="s">
        <v>511</v>
      </c>
      <c r="C52" s="94" t="s">
        <v>439</v>
      </c>
      <c r="D52" s="94" t="n">
        <v>7.42</v>
      </c>
      <c r="E52" s="92" t="n">
        <v>15.17</v>
      </c>
    </row>
    <row r="53" customFormat="false" ht="15.75" hidden="false" customHeight="true" outlineLevel="0" collapsed="false">
      <c r="A53" s="96" t="s">
        <v>608</v>
      </c>
      <c r="B53" s="96" t="s">
        <v>512</v>
      </c>
      <c r="C53" s="97" t="s">
        <v>448</v>
      </c>
      <c r="D53" s="97" t="n">
        <v>8.17</v>
      </c>
      <c r="E53" s="95" t="n">
        <v>13.42</v>
      </c>
    </row>
    <row r="54" customFormat="false" ht="15.75" hidden="false" customHeight="true" outlineLevel="0" collapsed="false">
      <c r="A54" s="93" t="s">
        <v>608</v>
      </c>
      <c r="B54" s="93" t="s">
        <v>531</v>
      </c>
      <c r="C54" s="94" t="s">
        <v>442</v>
      </c>
      <c r="D54" s="94" t="n">
        <v>0.08</v>
      </c>
      <c r="E54" s="92" t="n">
        <v>8.91</v>
      </c>
    </row>
    <row r="55" customFormat="false" ht="15.75" hidden="false" customHeight="true" outlineLevel="0" collapsed="false">
      <c r="A55" s="96" t="s">
        <v>608</v>
      </c>
      <c r="B55" s="96" t="s">
        <v>532</v>
      </c>
      <c r="C55" s="97" t="s">
        <v>439</v>
      </c>
      <c r="D55" s="97" t="n">
        <v>4.83</v>
      </c>
      <c r="E55" s="95" t="n">
        <v>8.58</v>
      </c>
    </row>
    <row r="56" customFormat="false" ht="15.75" hidden="false" customHeight="true" outlineLevel="0" collapsed="false">
      <c r="A56" s="93" t="s">
        <v>608</v>
      </c>
      <c r="B56" s="93" t="s">
        <v>541</v>
      </c>
      <c r="C56" s="94" t="s">
        <v>442</v>
      </c>
      <c r="D56" s="94" t="n">
        <v>8.5</v>
      </c>
      <c r="E56" s="92" t="n">
        <v>8.5</v>
      </c>
    </row>
    <row r="57" customFormat="false" ht="15.75" hidden="false" customHeight="true" outlineLevel="0" collapsed="false">
      <c r="A57" s="96" t="s">
        <v>608</v>
      </c>
      <c r="B57" s="96" t="s">
        <v>533</v>
      </c>
      <c r="C57" s="97" t="s">
        <v>439</v>
      </c>
      <c r="D57" s="97" t="n">
        <v>6.08</v>
      </c>
      <c r="E57" s="95" t="n">
        <v>8.25</v>
      </c>
    </row>
    <row r="58" customFormat="false" ht="15.75" hidden="false" customHeight="true" outlineLevel="0" collapsed="false">
      <c r="A58" s="93" t="s">
        <v>608</v>
      </c>
      <c r="B58" s="93" t="s">
        <v>513</v>
      </c>
      <c r="C58" s="94" t="s">
        <v>439</v>
      </c>
      <c r="D58" s="94" t="n">
        <v>2.5</v>
      </c>
      <c r="E58" s="92" t="n">
        <v>8.25</v>
      </c>
    </row>
    <row r="59" customFormat="false" ht="15.75" hidden="false" customHeight="true" outlineLevel="0" collapsed="false">
      <c r="A59" s="96" t="s">
        <v>608</v>
      </c>
      <c r="B59" s="96" t="s">
        <v>534</v>
      </c>
      <c r="C59" s="97" t="s">
        <v>439</v>
      </c>
      <c r="D59" s="97" t="n">
        <v>4.25</v>
      </c>
      <c r="E59" s="95" t="n">
        <v>7.25</v>
      </c>
    </row>
    <row r="60" customFormat="false" ht="15.75" hidden="false" customHeight="true" outlineLevel="0" collapsed="false">
      <c r="A60" s="93" t="s">
        <v>608</v>
      </c>
      <c r="B60" s="93" t="s">
        <v>542</v>
      </c>
      <c r="C60" s="94" t="s">
        <v>446</v>
      </c>
      <c r="D60" s="94" t="n">
        <v>6.33</v>
      </c>
      <c r="E60" s="92" t="n">
        <v>6.33</v>
      </c>
    </row>
    <row r="61" customFormat="false" ht="15.75" hidden="false" customHeight="true" outlineLevel="0" collapsed="false">
      <c r="A61" s="96" t="s">
        <v>608</v>
      </c>
      <c r="B61" s="96" t="s">
        <v>535</v>
      </c>
      <c r="C61" s="97" t="s">
        <v>439</v>
      </c>
      <c r="D61" s="97" t="n">
        <v>2.17</v>
      </c>
      <c r="E61" s="95" t="n">
        <v>5.25</v>
      </c>
    </row>
    <row r="62" customFormat="false" ht="15.75" hidden="false" customHeight="true" outlineLevel="0" collapsed="false">
      <c r="A62" s="93" t="s">
        <v>608</v>
      </c>
      <c r="B62" s="93" t="s">
        <v>514</v>
      </c>
      <c r="C62" s="94" t="s">
        <v>439</v>
      </c>
      <c r="D62" s="94" t="n">
        <v>0.25</v>
      </c>
      <c r="E62" s="92" t="n">
        <v>5.25</v>
      </c>
    </row>
    <row r="63" customFormat="false" ht="15.75" hidden="false" customHeight="true" outlineLevel="0" collapsed="false">
      <c r="A63" s="96" t="s">
        <v>608</v>
      </c>
      <c r="B63" s="96" t="s">
        <v>515</v>
      </c>
      <c r="C63" s="97" t="s">
        <v>439</v>
      </c>
      <c r="D63" s="97" t="n">
        <v>4.5</v>
      </c>
      <c r="E63" s="95" t="n">
        <v>5.16</v>
      </c>
    </row>
    <row r="64" customFormat="false" ht="15.75" hidden="false" customHeight="true" outlineLevel="0" collapsed="false">
      <c r="A64" s="93" t="s">
        <v>608</v>
      </c>
      <c r="B64" s="93" t="s">
        <v>536</v>
      </c>
      <c r="C64" s="94" t="s">
        <v>439</v>
      </c>
      <c r="D64" s="94" t="n">
        <v>2</v>
      </c>
      <c r="E64" s="92" t="n">
        <v>4.33</v>
      </c>
    </row>
    <row r="65" customFormat="false" ht="15.75" hidden="false" customHeight="true" outlineLevel="0" collapsed="false">
      <c r="A65" s="96" t="s">
        <v>608</v>
      </c>
      <c r="B65" s="96" t="s">
        <v>516</v>
      </c>
      <c r="C65" s="97" t="s">
        <v>448</v>
      </c>
      <c r="D65" s="97" t="n">
        <v>2</v>
      </c>
      <c r="E65" s="95" t="n">
        <v>4.25</v>
      </c>
    </row>
    <row r="66" customFormat="false" ht="15.75" hidden="false" customHeight="true" outlineLevel="0" collapsed="false">
      <c r="A66" s="93" t="s">
        <v>608</v>
      </c>
      <c r="B66" s="93" t="s">
        <v>517</v>
      </c>
      <c r="C66" s="94" t="s">
        <v>439</v>
      </c>
      <c r="D66" s="94" t="n">
        <v>2</v>
      </c>
      <c r="E66" s="92" t="n">
        <v>3.75</v>
      </c>
    </row>
    <row r="67" customFormat="false" ht="15.75" hidden="false" customHeight="true" outlineLevel="0" collapsed="false">
      <c r="A67" s="96" t="s">
        <v>608</v>
      </c>
      <c r="B67" s="96" t="s">
        <v>537</v>
      </c>
      <c r="C67" s="97" t="s">
        <v>439</v>
      </c>
      <c r="D67" s="97" t="n">
        <v>2</v>
      </c>
      <c r="E67" s="95" t="n">
        <v>3.17</v>
      </c>
    </row>
    <row r="68" customFormat="false" ht="15.75" hidden="false" customHeight="true" outlineLevel="0" collapsed="false">
      <c r="A68" s="93" t="s">
        <v>608</v>
      </c>
      <c r="B68" s="93" t="s">
        <v>471</v>
      </c>
      <c r="C68" s="94" t="s">
        <v>439</v>
      </c>
      <c r="D68" s="94" t="n">
        <v>2</v>
      </c>
      <c r="E68" s="92" t="n">
        <v>3</v>
      </c>
    </row>
    <row r="69" customFormat="false" ht="15.75" hidden="false" customHeight="true" outlineLevel="0" collapsed="false">
      <c r="A69" s="96" t="s">
        <v>608</v>
      </c>
      <c r="B69" s="96" t="s">
        <v>470</v>
      </c>
      <c r="C69" s="97" t="s">
        <v>439</v>
      </c>
      <c r="D69" s="97" t="n">
        <v>2.5</v>
      </c>
      <c r="E69" s="95" t="n">
        <v>2.5</v>
      </c>
    </row>
    <row r="70" customFormat="false" ht="15.75" hidden="false" customHeight="true" outlineLevel="0" collapsed="false">
      <c r="A70" s="93" t="s">
        <v>608</v>
      </c>
      <c r="B70" s="93" t="s">
        <v>468</v>
      </c>
      <c r="C70" s="94" t="s">
        <v>448</v>
      </c>
      <c r="D70" s="94" t="n">
        <v>2</v>
      </c>
      <c r="E70" s="92" t="n">
        <v>2</v>
      </c>
    </row>
    <row r="71" customFormat="false" ht="15.75" hidden="false" customHeight="true" outlineLevel="0" collapsed="false">
      <c r="A71" s="96" t="s">
        <v>608</v>
      </c>
      <c r="B71" s="96" t="s">
        <v>467</v>
      </c>
      <c r="C71" s="97" t="s">
        <v>439</v>
      </c>
      <c r="D71" s="97" t="n">
        <v>1.83</v>
      </c>
      <c r="E71" s="95" t="n">
        <v>1.83</v>
      </c>
    </row>
    <row r="72" customFormat="false" ht="15.75" hidden="false" customHeight="true" outlineLevel="0" collapsed="false">
      <c r="A72" s="93" t="s">
        <v>608</v>
      </c>
      <c r="B72" s="93" t="s">
        <v>465</v>
      </c>
      <c r="C72" s="94" t="s">
        <v>446</v>
      </c>
      <c r="D72" s="94" t="n">
        <v>1</v>
      </c>
      <c r="E72" s="92" t="n">
        <v>1</v>
      </c>
    </row>
    <row r="73" customFormat="false" ht="15.75" hidden="false" customHeight="true" outlineLevel="0" collapsed="false">
      <c r="A73" s="96" t="s">
        <v>608</v>
      </c>
      <c r="B73" s="96" t="s">
        <v>466</v>
      </c>
      <c r="C73" s="97" t="s">
        <v>439</v>
      </c>
      <c r="D73" s="97" t="n">
        <v>1</v>
      </c>
      <c r="E73" s="95" t="n">
        <v>1</v>
      </c>
    </row>
    <row r="74" customFormat="false" ht="15.75" hidden="false" customHeight="true" outlineLevel="0" collapsed="false">
      <c r="A74" s="93" t="s">
        <v>608</v>
      </c>
      <c r="B74" s="93" t="s">
        <v>464</v>
      </c>
      <c r="C74" s="94" t="s">
        <v>448</v>
      </c>
      <c r="D74" s="94" t="n">
        <v>0.92</v>
      </c>
      <c r="E74" s="92" t="n">
        <v>0.92</v>
      </c>
    </row>
    <row r="75" customFormat="false" ht="15.75" hidden="false" customHeight="true" outlineLevel="0" collapsed="false">
      <c r="A75" s="96" t="s">
        <v>608</v>
      </c>
      <c r="B75" s="96" t="s">
        <v>462</v>
      </c>
      <c r="C75" s="97" t="s">
        <v>439</v>
      </c>
      <c r="D75" s="97" t="n">
        <v>0.5</v>
      </c>
      <c r="E75" s="95" t="n">
        <v>0.5</v>
      </c>
    </row>
    <row r="76" customFormat="false" ht="15.75" hidden="false" customHeight="true" outlineLevel="0" collapsed="false">
      <c r="A76" s="93" t="s">
        <v>609</v>
      </c>
      <c r="B76" s="93" t="s">
        <v>453</v>
      </c>
      <c r="C76" s="94" t="s">
        <v>454</v>
      </c>
      <c r="D76" s="94" t="n">
        <v>49.92</v>
      </c>
      <c r="E76" s="92" t="n">
        <v>86.92</v>
      </c>
    </row>
    <row r="77" customFormat="false" ht="15.75" hidden="false" customHeight="true" outlineLevel="0" collapsed="false">
      <c r="A77" s="96" t="s">
        <v>609</v>
      </c>
      <c r="B77" s="96" t="s">
        <v>520</v>
      </c>
      <c r="C77" s="97" t="s">
        <v>439</v>
      </c>
      <c r="D77" s="97" t="n">
        <v>25.83</v>
      </c>
      <c r="E77" s="95" t="n">
        <v>52.33</v>
      </c>
    </row>
    <row r="78" customFormat="false" ht="15.75" hidden="false" customHeight="true" outlineLevel="0" collapsed="false">
      <c r="A78" s="93" t="s">
        <v>609</v>
      </c>
      <c r="B78" s="93" t="s">
        <v>521</v>
      </c>
      <c r="C78" s="94" t="s">
        <v>439</v>
      </c>
      <c r="D78" s="94" t="n">
        <v>24.92</v>
      </c>
      <c r="E78" s="92" t="n">
        <v>43.34</v>
      </c>
    </row>
    <row r="79" customFormat="false" ht="15.75" hidden="false" customHeight="true" outlineLevel="0" collapsed="false">
      <c r="A79" s="96" t="s">
        <v>609</v>
      </c>
      <c r="B79" s="96" t="s">
        <v>522</v>
      </c>
      <c r="C79" s="97" t="s">
        <v>439</v>
      </c>
      <c r="D79" s="97" t="n">
        <v>17.17</v>
      </c>
      <c r="E79" s="95" t="n">
        <v>37.42</v>
      </c>
    </row>
    <row r="80" customFormat="false" ht="15.75" hidden="false" customHeight="true" outlineLevel="0" collapsed="false">
      <c r="A80" s="93" t="s">
        <v>609</v>
      </c>
      <c r="B80" s="93" t="s">
        <v>524</v>
      </c>
      <c r="C80" s="94" t="s">
        <v>439</v>
      </c>
      <c r="D80" s="94" t="n">
        <v>12.67</v>
      </c>
      <c r="E80" s="92" t="n">
        <v>32.5</v>
      </c>
    </row>
    <row r="81" customFormat="false" ht="15.75" hidden="false" customHeight="true" outlineLevel="0" collapsed="false">
      <c r="A81" s="96" t="s">
        <v>609</v>
      </c>
      <c r="B81" s="96" t="s">
        <v>529</v>
      </c>
      <c r="C81" s="97" t="s">
        <v>442</v>
      </c>
      <c r="D81" s="97" t="n">
        <v>13.17</v>
      </c>
      <c r="E81" s="95" t="n">
        <v>21.67</v>
      </c>
    </row>
    <row r="82" customFormat="false" ht="15.75" hidden="false" customHeight="true" outlineLevel="0" collapsed="false">
      <c r="A82" s="93" t="s">
        <v>609</v>
      </c>
      <c r="B82" s="93" t="s">
        <v>544</v>
      </c>
      <c r="C82" s="94" t="s">
        <v>439</v>
      </c>
      <c r="D82" s="94" t="n">
        <v>4.92</v>
      </c>
      <c r="E82" s="92" t="n">
        <v>4.92</v>
      </c>
    </row>
    <row r="83" customFormat="false" ht="15.75" hidden="false" customHeight="true" outlineLevel="0" collapsed="false">
      <c r="A83" s="96" t="s">
        <v>609</v>
      </c>
      <c r="B83" s="96" t="s">
        <v>545</v>
      </c>
      <c r="C83" s="97" t="s">
        <v>442</v>
      </c>
      <c r="D83" s="97" t="n">
        <v>4</v>
      </c>
      <c r="E83" s="95" t="n">
        <v>4</v>
      </c>
    </row>
    <row r="84" customFormat="false" ht="15.75" hidden="false" customHeight="true" outlineLevel="0" collapsed="false">
      <c r="A84" s="93" t="s">
        <v>609</v>
      </c>
      <c r="B84" s="93" t="s">
        <v>469</v>
      </c>
      <c r="C84" s="94" t="s">
        <v>439</v>
      </c>
      <c r="D84" s="94" t="n">
        <v>2.17</v>
      </c>
      <c r="E84" s="92" t="n">
        <v>2.17</v>
      </c>
    </row>
    <row r="85" customFormat="false" ht="15.75" hidden="false" customHeight="true" outlineLevel="0" collapsed="false">
      <c r="A85" s="96" t="s">
        <v>610</v>
      </c>
      <c r="B85" s="96" t="s">
        <v>540</v>
      </c>
      <c r="C85" s="97" t="s">
        <v>448</v>
      </c>
      <c r="D85" s="97" t="n">
        <v>13.58</v>
      </c>
      <c r="E85" s="95" t="n">
        <v>13.58</v>
      </c>
    </row>
    <row r="86" customFormat="false" ht="15.75" hidden="false" customHeight="true" outlineLevel="0" collapsed="false">
      <c r="A86" s="93" t="s">
        <v>610</v>
      </c>
      <c r="B86" s="93" t="s">
        <v>543</v>
      </c>
      <c r="C86" s="94" t="s">
        <v>439</v>
      </c>
      <c r="D86" s="94" t="n">
        <v>5.17</v>
      </c>
      <c r="E86" s="92" t="n">
        <v>5.17</v>
      </c>
    </row>
    <row r="87" customFormat="false" ht="15.75" hidden="false" customHeight="true" outlineLevel="0" collapsed="false">
      <c r="A87" s="96" t="s">
        <v>610</v>
      </c>
      <c r="B87" s="96" t="s">
        <v>463</v>
      </c>
      <c r="C87" s="97" t="s">
        <v>439</v>
      </c>
      <c r="D87" s="97" t="n">
        <v>0.5</v>
      </c>
      <c r="E87" s="95" t="n">
        <v>0.5</v>
      </c>
    </row>
    <row r="88" customFormat="false" ht="15.75" hidden="false" customHeight="true" outlineLevel="0" collapsed="false"/>
    <row r="89" customFormat="false" ht="15.75" hidden="false" customHeight="true" outlineLevel="0" collapsed="false">
      <c r="A89" s="45" t="s">
        <v>159</v>
      </c>
      <c r="B89" s="45"/>
      <c r="C89" s="45"/>
      <c r="D89" s="45"/>
      <c r="E89" s="45"/>
    </row>
    <row r="90" customFormat="false" ht="15.75" hidden="false" customHeight="true" outlineLevel="0" collapsed="false">
      <c r="A90" s="46" t="s">
        <v>611</v>
      </c>
      <c r="B90" s="46"/>
      <c r="C90" s="46"/>
      <c r="D90" s="46"/>
      <c r="E90" s="46"/>
    </row>
    <row r="91" customFormat="false" ht="15.75" hidden="false" customHeight="true" outlineLevel="0" collapsed="false">
      <c r="A91" s="46" t="s">
        <v>612</v>
      </c>
      <c r="B91" s="46"/>
      <c r="C91" s="46"/>
      <c r="D91" s="46"/>
      <c r="E91" s="46"/>
    </row>
    <row r="92" customFormat="false" ht="15.75" hidden="false" customHeight="true" outlineLevel="0" collapsed="false">
      <c r="A92" s="46" t="s">
        <v>613</v>
      </c>
      <c r="B92" s="46"/>
      <c r="C92" s="46"/>
      <c r="D92" s="46"/>
      <c r="E92" s="46"/>
    </row>
    <row r="93" customFormat="false" ht="15.75" hidden="false" customHeight="true" outlineLevel="0" collapsed="false">
      <c r="A93" s="46" t="s">
        <v>614</v>
      </c>
      <c r="B93" s="46"/>
      <c r="C93" s="46"/>
      <c r="D93" s="46"/>
      <c r="E93" s="46"/>
    </row>
    <row r="94" customFormat="false" ht="15.75" hidden="false" customHeight="true" outlineLevel="0" collapsed="false">
      <c r="A94" s="46" t="s">
        <v>615</v>
      </c>
      <c r="B94" s="46"/>
      <c r="C94" s="46"/>
      <c r="D94" s="46"/>
      <c r="E94" s="46"/>
    </row>
    <row r="95" customFormat="false" ht="15.75" hidden="false" customHeight="true" outlineLevel="0" collapsed="false">
      <c r="A95" s="46" t="s">
        <v>616</v>
      </c>
      <c r="B95" s="46"/>
      <c r="C95" s="46"/>
      <c r="D95" s="46"/>
      <c r="E95" s="46"/>
    </row>
    <row r="96" customFormat="false" ht="15.75" hidden="false" customHeight="true" outlineLevel="0" collapsed="false">
      <c r="A96" s="46" t="s">
        <v>476</v>
      </c>
      <c r="B96" s="46"/>
      <c r="C96" s="46"/>
      <c r="D96" s="46"/>
      <c r="E96" s="46"/>
    </row>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3:E87"/>
  <mergeCells count="10">
    <mergeCell ref="A1:E1"/>
    <mergeCell ref="A2:E2"/>
    <mergeCell ref="A89:E89"/>
    <mergeCell ref="A90:E90"/>
    <mergeCell ref="A91:E91"/>
    <mergeCell ref="A92:E92"/>
    <mergeCell ref="A93:E93"/>
    <mergeCell ref="A94:E94"/>
    <mergeCell ref="A95:E95"/>
    <mergeCell ref="A96:E9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5"/>
    <col collapsed="false" customWidth="true" hidden="false" outlineLevel="0" max="2" min="2" style="1" width="40"/>
    <col collapsed="false" customWidth="true" hidden="false" outlineLevel="0" max="5" min="3" style="1" width="12"/>
    <col collapsed="false" customWidth="true" hidden="false" outlineLevel="0" max="6" min="6" style="1" width="18"/>
    <col collapsed="false" customWidth="true" hidden="false" outlineLevel="0" max="26" min="7" style="1" width="8.71"/>
  </cols>
  <sheetData>
    <row r="1" customFormat="false" ht="39.75" hidden="false" customHeight="true" outlineLevel="0" collapsed="false">
      <c r="A1" s="53" t="s">
        <v>617</v>
      </c>
      <c r="B1" s="53"/>
      <c r="C1" s="53"/>
      <c r="D1" s="53"/>
      <c r="E1" s="53"/>
      <c r="F1" s="53"/>
    </row>
    <row r="2" customFormat="false" ht="19.5" hidden="false" customHeight="true" outlineLevel="0" collapsed="false">
      <c r="A2" s="20" t="s">
        <v>430</v>
      </c>
      <c r="B2" s="20"/>
      <c r="C2" s="20"/>
      <c r="D2" s="20"/>
      <c r="E2" s="20"/>
      <c r="F2" s="20"/>
    </row>
    <row r="3" customFormat="false" ht="30" hidden="false" customHeight="true" outlineLevel="0" collapsed="false">
      <c r="A3" s="118" t="s">
        <v>55</v>
      </c>
      <c r="B3" s="118" t="s">
        <v>431</v>
      </c>
      <c r="C3" s="118" t="s">
        <v>432</v>
      </c>
      <c r="D3" s="118" t="s">
        <v>433</v>
      </c>
      <c r="E3" s="118" t="s">
        <v>434</v>
      </c>
      <c r="F3" s="118" t="s">
        <v>618</v>
      </c>
    </row>
    <row r="4" customFormat="false" ht="15" hidden="false" customHeight="true" outlineLevel="0" collapsed="false">
      <c r="A4" s="99" t="n">
        <v>1</v>
      </c>
      <c r="B4" s="100" t="s">
        <v>451</v>
      </c>
      <c r="C4" s="101" t="s">
        <v>442</v>
      </c>
      <c r="D4" s="101" t="n">
        <v>73.17</v>
      </c>
      <c r="E4" s="101" t="n">
        <v>20.7</v>
      </c>
      <c r="F4" s="119" t="n">
        <f aca="false">D4+E4</f>
        <v>93.87</v>
      </c>
    </row>
    <row r="5" customFormat="false" ht="15" hidden="false" customHeight="true" outlineLevel="0" collapsed="false">
      <c r="A5" s="99" t="n">
        <v>2</v>
      </c>
      <c r="B5" s="100" t="s">
        <v>519</v>
      </c>
      <c r="C5" s="101" t="s">
        <v>448</v>
      </c>
      <c r="D5" s="101" t="n">
        <v>40.25</v>
      </c>
      <c r="E5" s="101" t="n">
        <v>30.55</v>
      </c>
      <c r="F5" s="119" t="n">
        <f aca="false">D5+E5</f>
        <v>70.8</v>
      </c>
    </row>
    <row r="6" customFormat="false" ht="15" hidden="false" customHeight="true" outlineLevel="0" collapsed="false">
      <c r="A6" s="99" t="n">
        <v>3</v>
      </c>
      <c r="B6" s="100" t="s">
        <v>523</v>
      </c>
      <c r="C6" s="101" t="s">
        <v>446</v>
      </c>
      <c r="D6" s="101" t="n">
        <v>9.1</v>
      </c>
      <c r="E6" s="101" t="n">
        <v>27.33</v>
      </c>
      <c r="F6" s="119" t="n">
        <f aca="false">D6+E6</f>
        <v>36.43</v>
      </c>
    </row>
    <row r="7" customFormat="false" ht="15" hidden="false" customHeight="true" outlineLevel="0" collapsed="false">
      <c r="A7" s="99" t="n">
        <v>4</v>
      </c>
      <c r="B7" s="100" t="s">
        <v>525</v>
      </c>
      <c r="C7" s="101" t="s">
        <v>439</v>
      </c>
      <c r="D7" s="101" t="n">
        <v>27.17</v>
      </c>
      <c r="E7" s="101" t="n">
        <v>0.42</v>
      </c>
      <c r="F7" s="119" t="n">
        <f aca="false">D7+E7</f>
        <v>27.59</v>
      </c>
    </row>
    <row r="8" customFormat="false" ht="15" hidden="false" customHeight="true" outlineLevel="0" collapsed="false">
      <c r="A8" s="99" t="n">
        <v>5</v>
      </c>
      <c r="B8" s="100" t="s">
        <v>526</v>
      </c>
      <c r="C8" s="101" t="s">
        <v>442</v>
      </c>
      <c r="D8" s="101" t="n">
        <v>4.83</v>
      </c>
      <c r="E8" s="101" t="n">
        <v>20</v>
      </c>
      <c r="F8" s="119" t="n">
        <f aca="false">D8+E8</f>
        <v>24.83</v>
      </c>
    </row>
    <row r="9" customFormat="false" ht="15" hidden="false" customHeight="true" outlineLevel="0" collapsed="false">
      <c r="A9" s="95" t="n">
        <v>6</v>
      </c>
      <c r="B9" s="96" t="s">
        <v>527</v>
      </c>
      <c r="C9" s="97" t="s">
        <v>454</v>
      </c>
      <c r="D9" s="97" t="n">
        <v>15.5</v>
      </c>
      <c r="E9" s="97" t="n">
        <v>8.42</v>
      </c>
      <c r="F9" s="115" t="n">
        <f aca="false">D9+E9</f>
        <v>23.92</v>
      </c>
    </row>
    <row r="10" customFormat="false" ht="15" hidden="false" customHeight="true" outlineLevel="0" collapsed="false">
      <c r="A10" s="92" t="n">
        <v>7</v>
      </c>
      <c r="B10" s="93" t="s">
        <v>538</v>
      </c>
      <c r="C10" s="94" t="s">
        <v>448</v>
      </c>
      <c r="D10" s="94" t="n">
        <v>22.83</v>
      </c>
      <c r="E10" s="94" t="n">
        <v>0</v>
      </c>
      <c r="F10" s="114" t="n">
        <f aca="false">D10+E10</f>
        <v>22.83</v>
      </c>
    </row>
    <row r="11" customFormat="false" ht="15" hidden="false" customHeight="true" outlineLevel="0" collapsed="false">
      <c r="A11" s="95" t="n">
        <v>8</v>
      </c>
      <c r="B11" s="96" t="s">
        <v>528</v>
      </c>
      <c r="C11" s="97" t="s">
        <v>439</v>
      </c>
      <c r="D11" s="97" t="n">
        <v>6</v>
      </c>
      <c r="E11" s="97" t="n">
        <v>15.83</v>
      </c>
      <c r="F11" s="115" t="n">
        <f aca="false">D11+E11</f>
        <v>21.83</v>
      </c>
    </row>
    <row r="12" customFormat="false" ht="15" hidden="false" customHeight="true" outlineLevel="0" collapsed="false">
      <c r="A12" s="92" t="n">
        <v>9</v>
      </c>
      <c r="B12" s="93" t="s">
        <v>530</v>
      </c>
      <c r="C12" s="94" t="s">
        <v>442</v>
      </c>
      <c r="D12" s="94" t="n">
        <v>4.58</v>
      </c>
      <c r="E12" s="94" t="n">
        <v>12.08</v>
      </c>
      <c r="F12" s="114" t="n">
        <f aca="false">D12+E12</f>
        <v>16.66</v>
      </c>
    </row>
    <row r="13" customFormat="false" ht="15" hidden="false" customHeight="true" outlineLevel="0" collapsed="false">
      <c r="A13" s="95" t="n">
        <v>10</v>
      </c>
      <c r="B13" s="96" t="s">
        <v>531</v>
      </c>
      <c r="C13" s="97" t="s">
        <v>442</v>
      </c>
      <c r="D13" s="97" t="n">
        <v>0.08</v>
      </c>
      <c r="E13" s="97" t="n">
        <v>8.83</v>
      </c>
      <c r="F13" s="115" t="n">
        <f aca="false">D13+E13</f>
        <v>8.91</v>
      </c>
    </row>
    <row r="14" customFormat="false" ht="15" hidden="false" customHeight="true" outlineLevel="0" collapsed="false">
      <c r="A14" s="92" t="n">
        <v>11</v>
      </c>
      <c r="B14" s="93" t="s">
        <v>532</v>
      </c>
      <c r="C14" s="94" t="s">
        <v>439</v>
      </c>
      <c r="D14" s="94" t="n">
        <v>4.83</v>
      </c>
      <c r="E14" s="94" t="n">
        <v>3.75</v>
      </c>
      <c r="F14" s="114" t="n">
        <f aca="false">D14+E14</f>
        <v>8.58</v>
      </c>
    </row>
    <row r="15" customFormat="false" ht="15" hidden="false" customHeight="true" outlineLevel="0" collapsed="false">
      <c r="A15" s="95" t="n">
        <v>12</v>
      </c>
      <c r="B15" s="96" t="s">
        <v>541</v>
      </c>
      <c r="C15" s="97" t="s">
        <v>442</v>
      </c>
      <c r="D15" s="97" t="n">
        <v>8.5</v>
      </c>
      <c r="E15" s="97" t="n">
        <v>0</v>
      </c>
      <c r="F15" s="115" t="n">
        <f aca="false">D15+E15</f>
        <v>8.5</v>
      </c>
    </row>
    <row r="16" customFormat="false" ht="15" hidden="false" customHeight="true" outlineLevel="0" collapsed="false">
      <c r="A16" s="92" t="n">
        <v>13</v>
      </c>
      <c r="B16" s="93" t="s">
        <v>533</v>
      </c>
      <c r="C16" s="94" t="s">
        <v>439</v>
      </c>
      <c r="D16" s="94" t="n">
        <v>6.08</v>
      </c>
      <c r="E16" s="94" t="n">
        <v>2.17</v>
      </c>
      <c r="F16" s="114" t="n">
        <f aca="false">D16+E16</f>
        <v>8.25</v>
      </c>
    </row>
    <row r="17" customFormat="false" ht="15" hidden="false" customHeight="true" outlineLevel="0" collapsed="false">
      <c r="A17" s="95" t="n">
        <v>14</v>
      </c>
      <c r="B17" s="96" t="s">
        <v>534</v>
      </c>
      <c r="C17" s="97" t="s">
        <v>439</v>
      </c>
      <c r="D17" s="97" t="n">
        <v>4.25</v>
      </c>
      <c r="E17" s="97" t="n">
        <v>3</v>
      </c>
      <c r="F17" s="115" t="n">
        <f aca="false">D17+E17</f>
        <v>7.25</v>
      </c>
    </row>
    <row r="18" customFormat="false" ht="15" hidden="false" customHeight="true" outlineLevel="0" collapsed="false">
      <c r="A18" s="92" t="n">
        <v>15</v>
      </c>
      <c r="B18" s="93" t="s">
        <v>542</v>
      </c>
      <c r="C18" s="94" t="s">
        <v>446</v>
      </c>
      <c r="D18" s="94" t="n">
        <v>6.33</v>
      </c>
      <c r="E18" s="94" t="n">
        <v>0</v>
      </c>
      <c r="F18" s="114" t="n">
        <f aca="false">D18+E18</f>
        <v>6.33</v>
      </c>
    </row>
    <row r="19" customFormat="false" ht="15" hidden="false" customHeight="true" outlineLevel="0" collapsed="false">
      <c r="A19" s="95" t="n">
        <v>16</v>
      </c>
      <c r="B19" s="96" t="s">
        <v>535</v>
      </c>
      <c r="C19" s="97" t="s">
        <v>439</v>
      </c>
      <c r="D19" s="97" t="n">
        <v>2.17</v>
      </c>
      <c r="E19" s="97" t="n">
        <v>3.08</v>
      </c>
      <c r="F19" s="115" t="n">
        <f aca="false">D19+E19</f>
        <v>5.25</v>
      </c>
    </row>
    <row r="20" customFormat="false" ht="15" hidden="false" customHeight="true" outlineLevel="0" collapsed="false">
      <c r="A20" s="92" t="n">
        <v>17</v>
      </c>
      <c r="B20" s="93" t="s">
        <v>544</v>
      </c>
      <c r="C20" s="94" t="s">
        <v>439</v>
      </c>
      <c r="D20" s="94" t="n">
        <v>0</v>
      </c>
      <c r="E20" s="94" t="n">
        <v>4.92</v>
      </c>
      <c r="F20" s="114" t="n">
        <f aca="false">D20+E20</f>
        <v>4.92</v>
      </c>
    </row>
    <row r="21" customFormat="false" ht="15.75" hidden="false" customHeight="true" outlineLevel="0" collapsed="false">
      <c r="A21" s="95" t="n">
        <v>18</v>
      </c>
      <c r="B21" s="96" t="s">
        <v>536</v>
      </c>
      <c r="C21" s="97" t="s">
        <v>439</v>
      </c>
      <c r="D21" s="97" t="n">
        <v>2</v>
      </c>
      <c r="E21" s="97" t="n">
        <v>2.33</v>
      </c>
      <c r="F21" s="115" t="n">
        <f aca="false">D21+E21</f>
        <v>4.33</v>
      </c>
    </row>
    <row r="22" customFormat="false" ht="15.75" hidden="false" customHeight="true" outlineLevel="0" collapsed="false">
      <c r="A22" s="92" t="n">
        <v>19</v>
      </c>
      <c r="B22" s="93" t="s">
        <v>545</v>
      </c>
      <c r="C22" s="94" t="s">
        <v>442</v>
      </c>
      <c r="D22" s="94" t="n">
        <v>0</v>
      </c>
      <c r="E22" s="94" t="n">
        <v>4</v>
      </c>
      <c r="F22" s="114" t="n">
        <f aca="false">D22+E22</f>
        <v>4</v>
      </c>
    </row>
    <row r="23" customFormat="false" ht="15.75" hidden="false" customHeight="true" outlineLevel="0" collapsed="false">
      <c r="A23" s="95" t="n">
        <v>20</v>
      </c>
      <c r="B23" s="96" t="s">
        <v>537</v>
      </c>
      <c r="C23" s="97" t="s">
        <v>439</v>
      </c>
      <c r="D23" s="97" t="n">
        <v>2</v>
      </c>
      <c r="E23" s="97" t="n">
        <v>1.17</v>
      </c>
      <c r="F23" s="115" t="n">
        <f aca="false">D23+E23</f>
        <v>3.17</v>
      </c>
    </row>
    <row r="24" customFormat="false" ht="15.75" hidden="false" customHeight="true" outlineLevel="0" collapsed="false">
      <c r="A24" s="92" t="n">
        <v>21</v>
      </c>
      <c r="B24" s="93" t="s">
        <v>471</v>
      </c>
      <c r="C24" s="94" t="s">
        <v>439</v>
      </c>
      <c r="D24" s="94" t="n">
        <v>2</v>
      </c>
      <c r="E24" s="94" t="n">
        <v>1</v>
      </c>
      <c r="F24" s="114" t="n">
        <f aca="false">D24+E24</f>
        <v>3</v>
      </c>
    </row>
    <row r="25" customFormat="false" ht="15.75" hidden="false" customHeight="true" outlineLevel="0" collapsed="false">
      <c r="A25" s="95" t="n">
        <v>22</v>
      </c>
      <c r="B25" s="96" t="s">
        <v>470</v>
      </c>
      <c r="C25" s="97" t="s">
        <v>439</v>
      </c>
      <c r="D25" s="97" t="n">
        <v>2.5</v>
      </c>
      <c r="E25" s="97" t="n">
        <v>0</v>
      </c>
      <c r="F25" s="115" t="n">
        <f aca="false">D25+E25</f>
        <v>2.5</v>
      </c>
    </row>
    <row r="26" customFormat="false" ht="15.75" hidden="false" customHeight="true" outlineLevel="0" collapsed="false">
      <c r="A26" s="92" t="n">
        <v>23</v>
      </c>
      <c r="B26" s="93" t="s">
        <v>469</v>
      </c>
      <c r="C26" s="94" t="s">
        <v>439</v>
      </c>
      <c r="D26" s="94" t="n">
        <v>0</v>
      </c>
      <c r="E26" s="94" t="n">
        <v>2.17</v>
      </c>
      <c r="F26" s="114" t="n">
        <f aca="false">D26+E26</f>
        <v>2.17</v>
      </c>
    </row>
    <row r="27" customFormat="false" ht="15.75" hidden="false" customHeight="true" outlineLevel="0" collapsed="false">
      <c r="A27" s="95" t="n">
        <v>24</v>
      </c>
      <c r="B27" s="96" t="s">
        <v>468</v>
      </c>
      <c r="C27" s="97" t="s">
        <v>448</v>
      </c>
      <c r="D27" s="97" t="n">
        <v>2</v>
      </c>
      <c r="E27" s="97" t="n">
        <v>0</v>
      </c>
      <c r="F27" s="115" t="n">
        <f aca="false">D27+E27</f>
        <v>2</v>
      </c>
    </row>
    <row r="28" customFormat="false" ht="15.75" hidden="false" customHeight="true" outlineLevel="0" collapsed="false">
      <c r="A28" s="92" t="n">
        <v>25</v>
      </c>
      <c r="B28" s="93" t="s">
        <v>467</v>
      </c>
      <c r="C28" s="94" t="s">
        <v>439</v>
      </c>
      <c r="D28" s="94" t="n">
        <v>1.83</v>
      </c>
      <c r="E28" s="94" t="n">
        <v>0</v>
      </c>
      <c r="F28" s="114" t="n">
        <f aca="false">D28+E28</f>
        <v>1.83</v>
      </c>
    </row>
    <row r="29" customFormat="false" ht="15.75" hidden="false" customHeight="true" outlineLevel="0" collapsed="false">
      <c r="A29" s="95" t="n">
        <v>26</v>
      </c>
      <c r="B29" s="96" t="s">
        <v>465</v>
      </c>
      <c r="C29" s="97" t="s">
        <v>446</v>
      </c>
      <c r="D29" s="97" t="n">
        <v>1</v>
      </c>
      <c r="E29" s="97" t="n">
        <v>0</v>
      </c>
      <c r="F29" s="115" t="n">
        <f aca="false">D29+E29</f>
        <v>1</v>
      </c>
    </row>
    <row r="30" customFormat="false" ht="15.75" hidden="false" customHeight="true" outlineLevel="0" collapsed="false">
      <c r="A30" s="92" t="n">
        <v>27</v>
      </c>
      <c r="B30" s="93" t="s">
        <v>466</v>
      </c>
      <c r="C30" s="94" t="s">
        <v>439</v>
      </c>
      <c r="D30" s="94" t="n">
        <v>1</v>
      </c>
      <c r="E30" s="94" t="n">
        <v>0</v>
      </c>
      <c r="F30" s="114" t="n">
        <f aca="false">D30+E30</f>
        <v>1</v>
      </c>
    </row>
    <row r="31" customFormat="false" ht="15.75" hidden="false" customHeight="true" outlineLevel="0" collapsed="false">
      <c r="A31" s="95" t="n">
        <v>28</v>
      </c>
      <c r="B31" s="96" t="s">
        <v>464</v>
      </c>
      <c r="C31" s="97" t="s">
        <v>448</v>
      </c>
      <c r="D31" s="97" t="n">
        <v>0.92</v>
      </c>
      <c r="E31" s="97" t="n">
        <v>0</v>
      </c>
      <c r="F31" s="115" t="n">
        <f aca="false">D31+E31</f>
        <v>0.92</v>
      </c>
    </row>
    <row r="32" customFormat="false" ht="15.75" hidden="false" customHeight="true" outlineLevel="0" collapsed="false">
      <c r="A32" s="92" t="n">
        <v>29</v>
      </c>
      <c r="B32" s="93" t="s">
        <v>462</v>
      </c>
      <c r="C32" s="94" t="s">
        <v>439</v>
      </c>
      <c r="D32" s="94" t="n">
        <v>0.5</v>
      </c>
      <c r="E32" s="94" t="n">
        <v>0</v>
      </c>
      <c r="F32" s="114" t="n">
        <f aca="false">D32+E32</f>
        <v>0.5</v>
      </c>
    </row>
    <row r="33" customFormat="false" ht="15.75" hidden="false" customHeight="true" outlineLevel="0" collapsed="false">
      <c r="B33" s="38" t="s">
        <v>455</v>
      </c>
      <c r="D33" s="39" t="n">
        <v>251.42</v>
      </c>
      <c r="E33" s="39" t="n">
        <v>171.75</v>
      </c>
      <c r="F33" s="39" t="n">
        <v>423.17</v>
      </c>
    </row>
    <row r="34" customFormat="false" ht="15.75" hidden="false" customHeight="true" outlineLevel="0" collapsed="false"/>
    <row r="35" customFormat="false" ht="15.75" hidden="false" customHeight="true" outlineLevel="0" collapsed="false">
      <c r="A35" s="45" t="s">
        <v>159</v>
      </c>
      <c r="B35" s="45"/>
      <c r="C35" s="45"/>
      <c r="D35" s="45"/>
      <c r="E35" s="45"/>
      <c r="F35" s="45"/>
    </row>
    <row r="36" customFormat="false" ht="15.75" hidden="false" customHeight="true" outlineLevel="0" collapsed="false">
      <c r="A36" s="46" t="s">
        <v>619</v>
      </c>
      <c r="B36" s="46"/>
      <c r="C36" s="46"/>
      <c r="D36" s="46"/>
      <c r="E36" s="46"/>
      <c r="F36" s="46"/>
    </row>
    <row r="37" customFormat="false" ht="15.75" hidden="false" customHeight="true" outlineLevel="0" collapsed="false">
      <c r="A37" s="46" t="s">
        <v>620</v>
      </c>
      <c r="B37" s="46"/>
      <c r="C37" s="46"/>
      <c r="D37" s="46"/>
      <c r="E37" s="46"/>
      <c r="F37" s="46"/>
    </row>
    <row r="38" customFormat="false" ht="15.75" hidden="false" customHeight="true" outlineLevel="0" collapsed="false">
      <c r="A38" s="46" t="s">
        <v>621</v>
      </c>
      <c r="B38" s="46"/>
      <c r="C38" s="46"/>
      <c r="D38" s="46"/>
      <c r="E38" s="46"/>
      <c r="F38" s="46"/>
    </row>
    <row r="39" customFormat="false" ht="15.75" hidden="false" customHeight="true" outlineLevel="0" collapsed="false">
      <c r="A39" s="46" t="s">
        <v>622</v>
      </c>
      <c r="B39" s="46"/>
      <c r="C39" s="46"/>
      <c r="D39" s="46"/>
      <c r="E39" s="46"/>
      <c r="F39" s="46"/>
    </row>
    <row r="40" customFormat="false" ht="15.75" hidden="false" customHeight="true" outlineLevel="0" collapsed="false">
      <c r="A40" s="46" t="s">
        <v>623</v>
      </c>
      <c r="B40" s="46"/>
      <c r="C40" s="46"/>
      <c r="D40" s="46"/>
      <c r="E40" s="46"/>
      <c r="F40" s="46"/>
    </row>
    <row r="41" customFormat="false" ht="15.75" hidden="false" customHeight="true" outlineLevel="0" collapsed="false">
      <c r="A41" s="46" t="s">
        <v>624</v>
      </c>
      <c r="B41" s="46"/>
      <c r="C41" s="46"/>
      <c r="D41" s="46"/>
      <c r="E41" s="46"/>
      <c r="F41" s="46"/>
    </row>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3:F32"/>
  <mergeCells count="9">
    <mergeCell ref="A1:F1"/>
    <mergeCell ref="A2:F2"/>
    <mergeCell ref="A35:F35"/>
    <mergeCell ref="A36:F36"/>
    <mergeCell ref="A37:F37"/>
    <mergeCell ref="A38:F38"/>
    <mergeCell ref="A39:F39"/>
    <mergeCell ref="A40:F40"/>
    <mergeCell ref="A41:F4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16"/>
    <col collapsed="false" customWidth="true" hidden="false" outlineLevel="0" max="5" min="2" style="1" width="12"/>
    <col collapsed="false" customWidth="true" hidden="false" outlineLevel="0" max="6" min="6" style="1" width="14"/>
    <col collapsed="false" customWidth="true" hidden="false" outlineLevel="0" max="8" min="7" style="1" width="16"/>
    <col collapsed="false" customWidth="true" hidden="false" outlineLevel="0" max="26" min="9" style="1" width="8.71"/>
  </cols>
  <sheetData>
    <row r="1" customFormat="false" ht="39.75" hidden="false" customHeight="true" outlineLevel="0" collapsed="false">
      <c r="A1" s="77" t="s">
        <v>625</v>
      </c>
      <c r="B1" s="77"/>
      <c r="C1" s="77"/>
      <c r="D1" s="77"/>
      <c r="E1" s="77"/>
      <c r="F1" s="77"/>
      <c r="G1" s="77"/>
      <c r="H1" s="77"/>
    </row>
    <row r="2" customFormat="false" ht="19.5" hidden="false" customHeight="true" outlineLevel="0" collapsed="false">
      <c r="A2" s="20" t="s">
        <v>626</v>
      </c>
      <c r="B2" s="20"/>
      <c r="C2" s="20"/>
      <c r="D2" s="20"/>
      <c r="E2" s="20"/>
      <c r="F2" s="20"/>
      <c r="G2" s="20"/>
      <c r="H2" s="20"/>
    </row>
    <row r="3" customFormat="false" ht="30" hidden="false" customHeight="true" outlineLevel="0" collapsed="false">
      <c r="A3" s="116" t="s">
        <v>313</v>
      </c>
      <c r="B3" s="116" t="s">
        <v>433</v>
      </c>
      <c r="C3" s="116" t="s">
        <v>434</v>
      </c>
      <c r="D3" s="116" t="s">
        <v>435</v>
      </c>
      <c r="E3" s="116" t="s">
        <v>436</v>
      </c>
      <c r="F3" s="116" t="s">
        <v>316</v>
      </c>
      <c r="G3" s="116" t="s">
        <v>627</v>
      </c>
      <c r="H3" s="116" t="s">
        <v>628</v>
      </c>
    </row>
    <row r="4" customFormat="false" ht="15" hidden="false" customHeight="true" outlineLevel="0" collapsed="false">
      <c r="A4" s="79" t="s">
        <v>323</v>
      </c>
      <c r="B4" s="25" t="n">
        <v>251.13</v>
      </c>
      <c r="C4" s="25" t="n">
        <v>186.11</v>
      </c>
      <c r="D4" s="25" t="n">
        <v>92.23</v>
      </c>
      <c r="E4" s="23" t="n">
        <v>529.47</v>
      </c>
      <c r="F4" s="26" t="n">
        <f aca="false">E4/E11</f>
        <v>0.144726411948327</v>
      </c>
      <c r="G4" s="26" t="n">
        <f aca="false">IF(B4&gt;0,(C4-B4)/B4,"N/A")</f>
        <v>-0.258909728029307</v>
      </c>
      <c r="H4" s="26" t="n">
        <f aca="false">IF(C4&gt;0,(D4-C4)/C4,"N/A")</f>
        <v>-0.504432862285745</v>
      </c>
    </row>
    <row r="5" customFormat="false" ht="15" hidden="false" customHeight="true" outlineLevel="0" collapsed="false">
      <c r="A5" s="81" t="s">
        <v>329</v>
      </c>
      <c r="B5" s="30" t="n">
        <v>13.67</v>
      </c>
      <c r="C5" s="30" t="n">
        <v>23.49</v>
      </c>
      <c r="D5" s="30" t="n">
        <v>22.91</v>
      </c>
      <c r="E5" s="28" t="n">
        <v>60.07</v>
      </c>
      <c r="F5" s="31" t="n">
        <f aca="false">E5/E11</f>
        <v>0.0164196565730561</v>
      </c>
      <c r="G5" s="31" t="n">
        <f aca="false">IF(B5&gt;0,(C5-B5)/B5,"N/A")</f>
        <v>0.718361375274323</v>
      </c>
      <c r="H5" s="31" t="n">
        <f aca="false">IF(C5&gt;0,(D5-C5)/C5,"N/A")</f>
        <v>-0.0246913580246913</v>
      </c>
    </row>
    <row r="6" customFormat="false" ht="15" hidden="false" customHeight="true" outlineLevel="0" collapsed="false">
      <c r="A6" s="79" t="s">
        <v>321</v>
      </c>
      <c r="B6" s="25" t="n">
        <v>297.88</v>
      </c>
      <c r="C6" s="25" t="n">
        <v>253.6</v>
      </c>
      <c r="D6" s="25" t="n">
        <v>77.75</v>
      </c>
      <c r="E6" s="23" t="n">
        <v>629.23</v>
      </c>
      <c r="F6" s="26" t="n">
        <f aca="false">E6/E11</f>
        <v>0.171995014241121</v>
      </c>
      <c r="G6" s="26" t="n">
        <f aca="false">IF(B6&gt;0,(C6-B6)/B6,"N/A")</f>
        <v>-0.148650463273802</v>
      </c>
      <c r="H6" s="26" t="n">
        <f aca="false">IF(C6&gt;0,(D6-C6)/C6,"N/A")</f>
        <v>-0.693414826498423</v>
      </c>
    </row>
    <row r="7" customFormat="false" ht="15" hidden="false" customHeight="true" outlineLevel="0" collapsed="false">
      <c r="A7" s="81" t="s">
        <v>629</v>
      </c>
      <c r="B7" s="30" t="n">
        <v>0.08</v>
      </c>
      <c r="C7" s="30" t="n">
        <v>0.59</v>
      </c>
      <c r="D7" s="30" t="n">
        <v>0.17</v>
      </c>
      <c r="E7" s="28" t="n">
        <v>0.84</v>
      </c>
      <c r="F7" s="31" t="n">
        <f aca="false">E7/E11</f>
        <v>0.000229607316819829</v>
      </c>
      <c r="G7" s="31" t="n">
        <f aca="false">IF(B7&gt;0,(C7-B7)/B7,"N/A")</f>
        <v>6.375</v>
      </c>
      <c r="H7" s="31" t="n">
        <f aca="false">IF(C7&gt;0,(D7-C7)/C7,"N/A")</f>
        <v>-0.711864406779661</v>
      </c>
    </row>
    <row r="8" customFormat="false" ht="15" hidden="false" customHeight="true" outlineLevel="0" collapsed="false">
      <c r="A8" s="79" t="s">
        <v>319</v>
      </c>
      <c r="B8" s="25" t="n">
        <v>351</v>
      </c>
      <c r="C8" s="25" t="n">
        <v>326.33</v>
      </c>
      <c r="D8" s="25" t="n">
        <v>165.3</v>
      </c>
      <c r="E8" s="23" t="n">
        <v>842.63</v>
      </c>
      <c r="F8" s="26" t="n">
        <f aca="false">E8/E11</f>
        <v>0.23032620639511</v>
      </c>
      <c r="G8" s="26" t="n">
        <f aca="false">IF(B8&gt;0,(C8-B8)/B8,"N/A")</f>
        <v>-0.0702849002849003</v>
      </c>
      <c r="H8" s="26" t="n">
        <f aca="false">IF(C8&gt;0,(D8-C8)/C8,"N/A")</f>
        <v>-0.493457542977967</v>
      </c>
    </row>
    <row r="9" customFormat="false" ht="15" hidden="false" customHeight="true" outlineLevel="0" collapsed="false">
      <c r="A9" s="81" t="s">
        <v>325</v>
      </c>
      <c r="B9" s="30" t="n">
        <v>407.65</v>
      </c>
      <c r="C9" s="30" t="n">
        <v>476.21</v>
      </c>
      <c r="D9" s="30" t="n">
        <v>204.93</v>
      </c>
      <c r="E9" s="28" t="n">
        <v>1088.79</v>
      </c>
      <c r="F9" s="31" t="n">
        <f aca="false">E9/E11</f>
        <v>0.297612083905074</v>
      </c>
      <c r="G9" s="31" t="n">
        <f aca="false">IF(B9&gt;0,(C9-B9)/B9,"N/A")</f>
        <v>0.168183490739605</v>
      </c>
      <c r="H9" s="31" t="n">
        <f aca="false">IF(C9&gt;0,(D9-C9)/C9,"N/A")</f>
        <v>-0.569664643749606</v>
      </c>
    </row>
    <row r="10" customFormat="false" ht="15" hidden="false" customHeight="true" outlineLevel="0" collapsed="false">
      <c r="A10" s="79" t="s">
        <v>361</v>
      </c>
      <c r="B10" s="25" t="n">
        <v>74.51</v>
      </c>
      <c r="C10" s="25" t="n">
        <v>50.83</v>
      </c>
      <c r="D10" s="25" t="n">
        <v>39.93</v>
      </c>
      <c r="E10" s="23" t="n">
        <v>165.27</v>
      </c>
      <c r="F10" s="26" t="n">
        <f aca="false">E10/E11</f>
        <v>0.0451752395843014</v>
      </c>
      <c r="G10" s="26" t="n">
        <f aca="false">IF(B10&gt;0,(C10-B10)/B10,"N/A")</f>
        <v>-0.3178096899745</v>
      </c>
      <c r="H10" s="26" t="n">
        <f aca="false">IF(C10&gt;0,(D10-C10)/C10,"N/A")</f>
        <v>-0.214440291166634</v>
      </c>
    </row>
    <row r="11" customFormat="false" ht="15" hidden="false" customHeight="true" outlineLevel="0" collapsed="false">
      <c r="A11" s="38" t="s">
        <v>455</v>
      </c>
      <c r="B11" s="39" t="n">
        <v>1395.92</v>
      </c>
      <c r="C11" s="39" t="n">
        <v>1317.16</v>
      </c>
      <c r="D11" s="39" t="n">
        <v>603.22</v>
      </c>
      <c r="E11" s="39" t="n">
        <v>3658.42</v>
      </c>
    </row>
    <row r="12" customFormat="false" ht="15" hidden="false" customHeight="true" outlineLevel="0" collapsed="false"/>
    <row r="13" customFormat="false" ht="15.75" hidden="false" customHeight="true" outlineLevel="0" collapsed="false">
      <c r="A13" s="45" t="s">
        <v>159</v>
      </c>
      <c r="B13" s="45"/>
      <c r="C13" s="45"/>
      <c r="D13" s="45"/>
      <c r="E13" s="45"/>
      <c r="F13" s="45"/>
      <c r="G13" s="45"/>
      <c r="H13" s="45"/>
    </row>
    <row r="14" customFormat="false" ht="15.75" hidden="false" customHeight="true" outlineLevel="0" collapsed="false">
      <c r="A14" s="46" t="s">
        <v>630</v>
      </c>
      <c r="B14" s="46"/>
      <c r="C14" s="46"/>
      <c r="D14" s="46"/>
      <c r="E14" s="46"/>
      <c r="F14" s="46"/>
      <c r="G14" s="46"/>
      <c r="H14" s="46"/>
    </row>
    <row r="15" customFormat="false" ht="15.75" hidden="false" customHeight="true" outlineLevel="0" collapsed="false">
      <c r="A15" s="46" t="s">
        <v>631</v>
      </c>
      <c r="B15" s="46"/>
      <c r="C15" s="46"/>
      <c r="D15" s="46"/>
      <c r="E15" s="46"/>
      <c r="F15" s="46"/>
      <c r="G15" s="46"/>
      <c r="H15" s="46"/>
    </row>
    <row r="16" customFormat="false" ht="15.75" hidden="false" customHeight="true" outlineLevel="0" collapsed="false">
      <c r="A16" s="46" t="s">
        <v>632</v>
      </c>
      <c r="B16" s="46"/>
      <c r="C16" s="46"/>
      <c r="D16" s="46"/>
      <c r="E16" s="46"/>
      <c r="F16" s="46"/>
      <c r="G16" s="46"/>
      <c r="H16" s="46"/>
    </row>
    <row r="17" customFormat="false" ht="15.75" hidden="false" customHeight="true" outlineLevel="0" collapsed="false">
      <c r="A17" s="46" t="s">
        <v>633</v>
      </c>
      <c r="B17" s="46"/>
      <c r="C17" s="46"/>
      <c r="D17" s="46"/>
      <c r="E17" s="46"/>
      <c r="F17" s="46"/>
      <c r="G17" s="46"/>
      <c r="H17" s="46"/>
    </row>
    <row r="18" customFormat="false" ht="15.75" hidden="false" customHeight="true" outlineLevel="0" collapsed="false">
      <c r="A18" s="46" t="s">
        <v>634</v>
      </c>
      <c r="B18" s="46"/>
      <c r="C18" s="46"/>
      <c r="D18" s="46"/>
      <c r="E18" s="46"/>
      <c r="F18" s="46"/>
      <c r="G18" s="46"/>
      <c r="H18" s="46"/>
    </row>
    <row r="19" customFormat="false" ht="15.75" hidden="false" customHeight="true" outlineLevel="0" collapsed="false">
      <c r="A19" s="46" t="s">
        <v>635</v>
      </c>
      <c r="B19" s="46"/>
      <c r="C19" s="46"/>
      <c r="D19" s="46"/>
      <c r="E19" s="46"/>
      <c r="F19" s="46"/>
      <c r="G19" s="46"/>
      <c r="H19" s="46"/>
    </row>
    <row r="20" customFormat="false" ht="1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3:H10"/>
  <mergeCells count="9">
    <mergeCell ref="A1:H1"/>
    <mergeCell ref="A2:H2"/>
    <mergeCell ref="A13:H13"/>
    <mergeCell ref="A14:H14"/>
    <mergeCell ref="A15:H15"/>
    <mergeCell ref="A16:H16"/>
    <mergeCell ref="A17:H17"/>
    <mergeCell ref="A18:H18"/>
    <mergeCell ref="A19:H1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40"/>
    <col collapsed="false" customWidth="true" hidden="false" outlineLevel="0" max="2" min="2" style="1" width="10"/>
    <col collapsed="false" customWidth="true" hidden="false" outlineLevel="0" max="10" min="3" style="1" width="12"/>
    <col collapsed="false" customWidth="true" hidden="false" outlineLevel="0" max="26" min="11" style="1" width="8.71"/>
  </cols>
  <sheetData>
    <row r="1" customFormat="false" ht="39.75" hidden="false" customHeight="true" outlineLevel="0" collapsed="false">
      <c r="A1" s="85" t="s">
        <v>636</v>
      </c>
      <c r="B1" s="85"/>
      <c r="C1" s="85"/>
      <c r="D1" s="85"/>
      <c r="E1" s="85"/>
      <c r="F1" s="85"/>
      <c r="G1" s="85"/>
      <c r="H1" s="85"/>
      <c r="I1" s="85"/>
      <c r="J1" s="85"/>
    </row>
    <row r="2" customFormat="false" ht="19.5" hidden="false" customHeight="true" outlineLevel="0" collapsed="false">
      <c r="A2" s="20" t="s">
        <v>626</v>
      </c>
      <c r="B2" s="20"/>
      <c r="C2" s="20"/>
      <c r="D2" s="20"/>
      <c r="E2" s="20"/>
      <c r="F2" s="20"/>
      <c r="G2" s="20"/>
      <c r="H2" s="20"/>
      <c r="I2" s="20"/>
      <c r="J2" s="20"/>
    </row>
    <row r="3" customFormat="false" ht="30" hidden="false" customHeight="true" outlineLevel="0" collapsed="false">
      <c r="A3" s="117" t="s">
        <v>431</v>
      </c>
      <c r="B3" s="117" t="s">
        <v>432</v>
      </c>
      <c r="C3" s="117" t="s">
        <v>323</v>
      </c>
      <c r="D3" s="117" t="s">
        <v>329</v>
      </c>
      <c r="E3" s="117" t="s">
        <v>321</v>
      </c>
      <c r="F3" s="117" t="s">
        <v>629</v>
      </c>
      <c r="G3" s="117" t="s">
        <v>319</v>
      </c>
      <c r="H3" s="117" t="s">
        <v>325</v>
      </c>
      <c r="I3" s="117" t="s">
        <v>361</v>
      </c>
      <c r="J3" s="117" t="s">
        <v>436</v>
      </c>
    </row>
    <row r="4" customFormat="false" ht="15" hidden="false" customHeight="true" outlineLevel="0" collapsed="false">
      <c r="A4" s="24" t="s">
        <v>441</v>
      </c>
      <c r="B4" s="25" t="s">
        <v>442</v>
      </c>
      <c r="C4" s="25" t="n">
        <v>14.67</v>
      </c>
      <c r="D4" s="25" t="n">
        <v>0</v>
      </c>
      <c r="E4" s="25" t="n">
        <v>0</v>
      </c>
      <c r="F4" s="25" t="n">
        <v>0</v>
      </c>
      <c r="G4" s="25" t="n">
        <v>126.25</v>
      </c>
      <c r="H4" s="25" t="n">
        <v>103.75</v>
      </c>
      <c r="I4" s="25" t="n">
        <v>36.25</v>
      </c>
      <c r="J4" s="114" t="n">
        <f aca="false">SUM(C4:I4)</f>
        <v>280.92</v>
      </c>
    </row>
    <row r="5" customFormat="false" ht="15" hidden="false" customHeight="true" outlineLevel="0" collapsed="false">
      <c r="A5" s="29" t="s">
        <v>443</v>
      </c>
      <c r="B5" s="30" t="s">
        <v>442</v>
      </c>
      <c r="C5" s="30" t="n">
        <v>8</v>
      </c>
      <c r="D5" s="30" t="n">
        <v>0</v>
      </c>
      <c r="E5" s="30" t="n">
        <v>9.5</v>
      </c>
      <c r="F5" s="30" t="n">
        <v>0</v>
      </c>
      <c r="G5" s="30" t="n">
        <v>67.01</v>
      </c>
      <c r="H5" s="30" t="n">
        <v>126.25</v>
      </c>
      <c r="I5" s="30" t="n">
        <v>4.67</v>
      </c>
      <c r="J5" s="115" t="n">
        <f aca="false">SUM(C5:I5)</f>
        <v>215.43</v>
      </c>
    </row>
    <row r="6" customFormat="false" ht="15" hidden="false" customHeight="true" outlineLevel="0" collapsed="false">
      <c r="A6" s="24" t="s">
        <v>438</v>
      </c>
      <c r="B6" s="25" t="s">
        <v>439</v>
      </c>
      <c r="C6" s="25" t="n">
        <v>0</v>
      </c>
      <c r="D6" s="25" t="n">
        <v>0</v>
      </c>
      <c r="E6" s="25" t="n">
        <v>182.9</v>
      </c>
      <c r="F6" s="25" t="n">
        <v>0</v>
      </c>
      <c r="G6" s="25" t="n">
        <v>0</v>
      </c>
      <c r="H6" s="25" t="n">
        <v>0</v>
      </c>
      <c r="I6" s="25" t="n">
        <v>0</v>
      </c>
      <c r="J6" s="114" t="n">
        <f aca="false">SUM(C6:I6)</f>
        <v>182.9</v>
      </c>
    </row>
    <row r="7" customFormat="false" ht="15" hidden="false" customHeight="true" outlineLevel="0" collapsed="false">
      <c r="A7" s="29" t="s">
        <v>444</v>
      </c>
      <c r="B7" s="30" t="s">
        <v>439</v>
      </c>
      <c r="C7" s="30" t="n">
        <v>29.25</v>
      </c>
      <c r="D7" s="30" t="n">
        <v>0</v>
      </c>
      <c r="E7" s="30" t="n">
        <v>6.75</v>
      </c>
      <c r="F7" s="30" t="n">
        <v>0.17</v>
      </c>
      <c r="G7" s="30" t="n">
        <v>47</v>
      </c>
      <c r="H7" s="30" t="n">
        <v>49</v>
      </c>
      <c r="I7" s="30" t="n">
        <v>44.5</v>
      </c>
      <c r="J7" s="115" t="n">
        <f aca="false">SUM(C7:I7)</f>
        <v>176.67</v>
      </c>
    </row>
    <row r="8" customFormat="false" ht="15" hidden="false" customHeight="true" outlineLevel="0" collapsed="false">
      <c r="A8" s="24" t="s">
        <v>445</v>
      </c>
      <c r="B8" s="25" t="s">
        <v>446</v>
      </c>
      <c r="C8" s="25" t="n">
        <v>45.25</v>
      </c>
      <c r="D8" s="25" t="n">
        <v>1.17</v>
      </c>
      <c r="E8" s="25" t="n">
        <v>15.5</v>
      </c>
      <c r="F8" s="25" t="n">
        <v>0</v>
      </c>
      <c r="G8" s="25" t="n">
        <v>38.5</v>
      </c>
      <c r="H8" s="25" t="n">
        <v>50.58</v>
      </c>
      <c r="I8" s="25" t="n">
        <v>12.59</v>
      </c>
      <c r="J8" s="114" t="n">
        <f aca="false">SUM(C8:I8)</f>
        <v>163.59</v>
      </c>
    </row>
    <row r="9" customFormat="false" ht="15" hidden="false" customHeight="true" outlineLevel="0" collapsed="false">
      <c r="A9" s="29" t="s">
        <v>447</v>
      </c>
      <c r="B9" s="30" t="s">
        <v>448</v>
      </c>
      <c r="C9" s="30" t="n">
        <v>11</v>
      </c>
      <c r="D9" s="30" t="n">
        <v>0.08</v>
      </c>
      <c r="E9" s="30" t="n">
        <v>3.42</v>
      </c>
      <c r="F9" s="30" t="n">
        <v>0</v>
      </c>
      <c r="G9" s="30" t="n">
        <v>35.7</v>
      </c>
      <c r="H9" s="30" t="n">
        <v>58.25</v>
      </c>
      <c r="I9" s="30" t="n">
        <v>10.5</v>
      </c>
      <c r="J9" s="115" t="n">
        <f aca="false">SUM(C9:I9)</f>
        <v>118.95</v>
      </c>
    </row>
    <row r="10" customFormat="false" ht="15" hidden="false" customHeight="true" outlineLevel="0" collapsed="false">
      <c r="A10" s="24" t="s">
        <v>449</v>
      </c>
      <c r="B10" s="25" t="s">
        <v>439</v>
      </c>
      <c r="C10" s="25" t="n">
        <v>17.7</v>
      </c>
      <c r="D10" s="25" t="n">
        <v>0</v>
      </c>
      <c r="E10" s="25" t="n">
        <v>7</v>
      </c>
      <c r="F10" s="25" t="n">
        <v>0</v>
      </c>
      <c r="G10" s="25" t="n">
        <v>18.75</v>
      </c>
      <c r="H10" s="25" t="n">
        <v>64.26</v>
      </c>
      <c r="I10" s="25" t="n">
        <v>1</v>
      </c>
      <c r="J10" s="114" t="n">
        <f aca="false">SUM(C10:I10)</f>
        <v>108.71</v>
      </c>
    </row>
    <row r="11" customFormat="false" ht="15" hidden="false" customHeight="true" outlineLevel="0" collapsed="false">
      <c r="A11" s="29" t="s">
        <v>450</v>
      </c>
      <c r="B11" s="30" t="s">
        <v>439</v>
      </c>
      <c r="C11" s="30" t="n">
        <v>0</v>
      </c>
      <c r="D11" s="30" t="n">
        <v>1</v>
      </c>
      <c r="E11" s="30" t="n">
        <v>0</v>
      </c>
      <c r="F11" s="30" t="n">
        <v>0</v>
      </c>
      <c r="G11" s="30" t="n">
        <v>89</v>
      </c>
      <c r="H11" s="30" t="n">
        <v>11.25</v>
      </c>
      <c r="I11" s="30" t="n">
        <v>0</v>
      </c>
      <c r="J11" s="115" t="n">
        <f aca="false">SUM(C11:I11)</f>
        <v>101.25</v>
      </c>
    </row>
    <row r="12" customFormat="false" ht="15" hidden="false" customHeight="true" outlineLevel="0" collapsed="false">
      <c r="A12" s="24" t="s">
        <v>480</v>
      </c>
      <c r="B12" s="25" t="s">
        <v>439</v>
      </c>
      <c r="C12" s="25" t="n">
        <v>0</v>
      </c>
      <c r="D12" s="25" t="n">
        <v>0</v>
      </c>
      <c r="E12" s="25" t="n">
        <v>0</v>
      </c>
      <c r="F12" s="25" t="n">
        <v>0</v>
      </c>
      <c r="G12" s="25" t="n">
        <v>25.33</v>
      </c>
      <c r="H12" s="25" t="n">
        <v>57</v>
      </c>
      <c r="I12" s="25" t="n">
        <v>0</v>
      </c>
      <c r="J12" s="114" t="n">
        <f aca="false">SUM(C12:I12)</f>
        <v>82.33</v>
      </c>
    </row>
    <row r="13" customFormat="false" ht="15" hidden="false" customHeight="true" outlineLevel="0" collapsed="false">
      <c r="A13" s="29" t="s">
        <v>481</v>
      </c>
      <c r="B13" s="30" t="s">
        <v>448</v>
      </c>
      <c r="C13" s="30" t="n">
        <v>14.67</v>
      </c>
      <c r="D13" s="30" t="n">
        <v>6</v>
      </c>
      <c r="E13" s="30" t="n">
        <v>1.42</v>
      </c>
      <c r="F13" s="30" t="n">
        <v>0</v>
      </c>
      <c r="G13" s="30" t="n">
        <v>27</v>
      </c>
      <c r="H13" s="30" t="n">
        <v>28.33</v>
      </c>
      <c r="I13" s="30" t="n">
        <v>2.58</v>
      </c>
      <c r="J13" s="115" t="n">
        <f aca="false">SUM(C13:I13)</f>
        <v>80</v>
      </c>
    </row>
    <row r="14" customFormat="false" ht="15" hidden="false" customHeight="true" outlineLevel="0" collapsed="false">
      <c r="A14" s="24" t="s">
        <v>482</v>
      </c>
      <c r="B14" s="25" t="s">
        <v>439</v>
      </c>
      <c r="C14" s="25" t="n">
        <v>24.17</v>
      </c>
      <c r="D14" s="25" t="n">
        <v>0</v>
      </c>
      <c r="E14" s="25" t="n">
        <v>34.35</v>
      </c>
      <c r="F14" s="25" t="n">
        <v>0</v>
      </c>
      <c r="G14" s="25" t="n">
        <v>15.83</v>
      </c>
      <c r="H14" s="25" t="n">
        <v>5.25</v>
      </c>
      <c r="I14" s="25" t="n">
        <v>0</v>
      </c>
      <c r="J14" s="114" t="n">
        <f aca="false">SUM(C14:I14)</f>
        <v>79.6</v>
      </c>
    </row>
    <row r="15" customFormat="false" ht="15" hidden="false" customHeight="true" outlineLevel="0" collapsed="false">
      <c r="A15" s="29" t="s">
        <v>483</v>
      </c>
      <c r="B15" s="30" t="s">
        <v>439</v>
      </c>
      <c r="C15" s="30" t="n">
        <v>6.34</v>
      </c>
      <c r="D15" s="30" t="n">
        <v>0</v>
      </c>
      <c r="E15" s="30" t="n">
        <v>10.67</v>
      </c>
      <c r="F15" s="30" t="n">
        <v>0</v>
      </c>
      <c r="G15" s="30" t="n">
        <v>20.59</v>
      </c>
      <c r="H15" s="30" t="n">
        <v>36.54</v>
      </c>
      <c r="I15" s="30" t="n">
        <v>0</v>
      </c>
      <c r="J15" s="115" t="n">
        <f aca="false">SUM(C15:I15)</f>
        <v>74.14</v>
      </c>
    </row>
    <row r="16" customFormat="false" ht="15" hidden="false" customHeight="true" outlineLevel="0" collapsed="false">
      <c r="A16" s="24" t="s">
        <v>519</v>
      </c>
      <c r="B16" s="25" t="s">
        <v>448</v>
      </c>
      <c r="C16" s="25" t="n">
        <v>22.55</v>
      </c>
      <c r="D16" s="25" t="n">
        <v>0</v>
      </c>
      <c r="E16" s="25" t="n">
        <v>0</v>
      </c>
      <c r="F16" s="25" t="n">
        <v>0</v>
      </c>
      <c r="G16" s="25" t="n">
        <v>19.41</v>
      </c>
      <c r="H16" s="25" t="n">
        <v>28.84</v>
      </c>
      <c r="I16" s="25" t="n">
        <v>0</v>
      </c>
      <c r="J16" s="114" t="n">
        <f aca="false">SUM(C16:I16)</f>
        <v>70.8</v>
      </c>
    </row>
    <row r="17" customFormat="false" ht="15" hidden="false" customHeight="true" outlineLevel="0" collapsed="false">
      <c r="A17" s="29" t="s">
        <v>485</v>
      </c>
      <c r="B17" s="30" t="s">
        <v>439</v>
      </c>
      <c r="C17" s="30" t="n">
        <v>20.09</v>
      </c>
      <c r="D17" s="30" t="n">
        <v>0.33</v>
      </c>
      <c r="E17" s="30" t="n">
        <v>6.17</v>
      </c>
      <c r="F17" s="30" t="n">
        <v>0</v>
      </c>
      <c r="G17" s="30" t="n">
        <v>14.66</v>
      </c>
      <c r="H17" s="30" t="n">
        <v>29.42</v>
      </c>
      <c r="I17" s="30" t="n">
        <v>0</v>
      </c>
      <c r="J17" s="115" t="n">
        <f aca="false">SUM(C17:I17)</f>
        <v>70.67</v>
      </c>
    </row>
    <row r="18" customFormat="false" ht="15" hidden="false" customHeight="true" outlineLevel="0" collapsed="false">
      <c r="A18" s="24" t="s">
        <v>486</v>
      </c>
      <c r="B18" s="25" t="s">
        <v>446</v>
      </c>
      <c r="C18" s="25" t="n">
        <v>7.25</v>
      </c>
      <c r="D18" s="25" t="n">
        <v>1</v>
      </c>
      <c r="E18" s="25" t="n">
        <v>0</v>
      </c>
      <c r="F18" s="25" t="n">
        <v>0</v>
      </c>
      <c r="G18" s="25" t="n">
        <v>32.08</v>
      </c>
      <c r="H18" s="25" t="n">
        <v>27</v>
      </c>
      <c r="I18" s="25" t="n">
        <v>0</v>
      </c>
      <c r="J18" s="114" t="n">
        <f aca="false">SUM(C18:I18)</f>
        <v>67.33</v>
      </c>
    </row>
    <row r="19" customFormat="false" ht="15" hidden="false" customHeight="true" outlineLevel="0" collapsed="false">
      <c r="A19" s="29" t="s">
        <v>487</v>
      </c>
      <c r="B19" s="30" t="s">
        <v>439</v>
      </c>
      <c r="C19" s="30" t="n">
        <v>10.66</v>
      </c>
      <c r="D19" s="30" t="n">
        <v>1.16</v>
      </c>
      <c r="E19" s="30" t="n">
        <v>0</v>
      </c>
      <c r="F19" s="30" t="n">
        <v>0</v>
      </c>
      <c r="G19" s="30" t="n">
        <v>21.67</v>
      </c>
      <c r="H19" s="30" t="n">
        <v>28.84</v>
      </c>
      <c r="I19" s="30" t="n">
        <v>0</v>
      </c>
      <c r="J19" s="115" t="n">
        <f aca="false">SUM(C19:I19)</f>
        <v>62.33</v>
      </c>
    </row>
    <row r="20" customFormat="false" ht="15" hidden="false" customHeight="true" outlineLevel="0" collapsed="false">
      <c r="A20" s="24" t="s">
        <v>488</v>
      </c>
      <c r="B20" s="25" t="s">
        <v>448</v>
      </c>
      <c r="C20" s="25" t="n">
        <v>9.92</v>
      </c>
      <c r="D20" s="25" t="n">
        <v>0</v>
      </c>
      <c r="E20" s="25" t="n">
        <v>34.5</v>
      </c>
      <c r="F20" s="25" t="n">
        <v>0</v>
      </c>
      <c r="G20" s="25" t="n">
        <v>1.67</v>
      </c>
      <c r="H20" s="25" t="n">
        <v>8.75</v>
      </c>
      <c r="I20" s="25" t="n">
        <v>0</v>
      </c>
      <c r="J20" s="114" t="n">
        <f aca="false">SUM(C20:I20)</f>
        <v>54.84</v>
      </c>
    </row>
    <row r="21" customFormat="false" ht="15.75" hidden="false" customHeight="true" outlineLevel="0" collapsed="false">
      <c r="A21" s="29" t="s">
        <v>489</v>
      </c>
      <c r="B21" s="30" t="s">
        <v>439</v>
      </c>
      <c r="C21" s="30" t="n">
        <v>21</v>
      </c>
      <c r="D21" s="30" t="n">
        <v>0</v>
      </c>
      <c r="E21" s="30" t="n">
        <v>19.25</v>
      </c>
      <c r="F21" s="30" t="n">
        <v>0</v>
      </c>
      <c r="G21" s="30" t="n">
        <v>5</v>
      </c>
      <c r="H21" s="30" t="n">
        <v>8.92</v>
      </c>
      <c r="I21" s="30" t="n">
        <v>0</v>
      </c>
      <c r="J21" s="115" t="n">
        <f aca="false">SUM(C21:I21)</f>
        <v>54.17</v>
      </c>
    </row>
    <row r="22" customFormat="false" ht="15.75" hidden="false" customHeight="true" outlineLevel="0" collapsed="false">
      <c r="A22" s="24" t="s">
        <v>484</v>
      </c>
      <c r="B22" s="25" t="s">
        <v>439</v>
      </c>
      <c r="C22" s="25" t="n">
        <v>28.5</v>
      </c>
      <c r="D22" s="25" t="n">
        <v>3</v>
      </c>
      <c r="E22" s="25" t="n">
        <v>14.58</v>
      </c>
      <c r="F22" s="25" t="n">
        <v>0</v>
      </c>
      <c r="G22" s="25" t="n">
        <v>1.67</v>
      </c>
      <c r="H22" s="25" t="n">
        <v>1.25</v>
      </c>
      <c r="I22" s="25" t="n">
        <v>3.92</v>
      </c>
      <c r="J22" s="114" t="n">
        <f aca="false">SUM(C22:I22)</f>
        <v>52.92</v>
      </c>
    </row>
    <row r="23" customFormat="false" ht="15.75" hidden="false" customHeight="true" outlineLevel="0" collapsed="false">
      <c r="A23" s="29" t="s">
        <v>520</v>
      </c>
      <c r="B23" s="30" t="s">
        <v>439</v>
      </c>
      <c r="C23" s="30" t="n">
        <v>2.58</v>
      </c>
      <c r="D23" s="30" t="n">
        <v>0</v>
      </c>
      <c r="E23" s="30" t="n">
        <v>13.16</v>
      </c>
      <c r="F23" s="30" t="n">
        <v>0.17</v>
      </c>
      <c r="G23" s="30" t="n">
        <v>12</v>
      </c>
      <c r="H23" s="30" t="n">
        <v>24.41</v>
      </c>
      <c r="I23" s="30" t="n">
        <v>0</v>
      </c>
      <c r="J23" s="115" t="n">
        <f aca="false">SUM(C23:I23)</f>
        <v>52.32</v>
      </c>
    </row>
    <row r="24" customFormat="false" ht="15.75" hidden="false" customHeight="true" outlineLevel="0" collapsed="false">
      <c r="A24" s="24" t="s">
        <v>490</v>
      </c>
      <c r="B24" s="25" t="s">
        <v>439</v>
      </c>
      <c r="C24" s="25" t="n">
        <v>10.02</v>
      </c>
      <c r="D24" s="25" t="n">
        <v>0</v>
      </c>
      <c r="E24" s="25" t="n">
        <v>0.67</v>
      </c>
      <c r="F24" s="25" t="n">
        <v>0</v>
      </c>
      <c r="G24" s="25" t="n">
        <v>12.83</v>
      </c>
      <c r="H24" s="25" t="n">
        <v>27.75</v>
      </c>
      <c r="I24" s="25" t="n">
        <v>0</v>
      </c>
      <c r="J24" s="114" t="n">
        <f aca="false">SUM(C24:I24)</f>
        <v>51.27</v>
      </c>
    </row>
    <row r="25" customFormat="false" ht="15.75" hidden="false" customHeight="true" outlineLevel="0" collapsed="false">
      <c r="A25" s="29" t="s">
        <v>491</v>
      </c>
      <c r="B25" s="30" t="s">
        <v>442</v>
      </c>
      <c r="C25" s="30" t="n">
        <v>9.16</v>
      </c>
      <c r="D25" s="30" t="n">
        <v>0.5</v>
      </c>
      <c r="E25" s="30" t="n">
        <v>0.58</v>
      </c>
      <c r="F25" s="30" t="n">
        <v>0</v>
      </c>
      <c r="G25" s="30" t="n">
        <v>11.34</v>
      </c>
      <c r="H25" s="30" t="n">
        <v>28.25</v>
      </c>
      <c r="I25" s="30" t="n">
        <v>0</v>
      </c>
      <c r="J25" s="115" t="n">
        <f aca="false">SUM(C25:I25)</f>
        <v>49.83</v>
      </c>
    </row>
    <row r="26" customFormat="false" ht="15.75" hidden="false" customHeight="true" outlineLevel="0" collapsed="false">
      <c r="A26" s="24" t="s">
        <v>492</v>
      </c>
      <c r="B26" s="25" t="s">
        <v>439</v>
      </c>
      <c r="C26" s="25" t="n">
        <v>6.42</v>
      </c>
      <c r="D26" s="25" t="n">
        <v>0</v>
      </c>
      <c r="E26" s="25" t="n">
        <v>20.66</v>
      </c>
      <c r="F26" s="25" t="n">
        <v>0</v>
      </c>
      <c r="G26" s="25" t="n">
        <v>2.33</v>
      </c>
      <c r="H26" s="25" t="n">
        <v>1.58</v>
      </c>
      <c r="I26" s="25" t="n">
        <v>16.5</v>
      </c>
      <c r="J26" s="114" t="n">
        <f aca="false">SUM(C26:I26)</f>
        <v>47.49</v>
      </c>
    </row>
    <row r="27" customFormat="false" ht="15.75" hidden="false" customHeight="true" outlineLevel="0" collapsed="false">
      <c r="A27" s="29" t="s">
        <v>521</v>
      </c>
      <c r="B27" s="30" t="s">
        <v>439</v>
      </c>
      <c r="C27" s="30" t="n">
        <v>4.5</v>
      </c>
      <c r="D27" s="30" t="n">
        <v>6.5</v>
      </c>
      <c r="E27" s="30" t="n">
        <v>10.92</v>
      </c>
      <c r="F27" s="30" t="n">
        <v>0.17</v>
      </c>
      <c r="G27" s="30" t="n">
        <v>3.83</v>
      </c>
      <c r="H27" s="30" t="n">
        <v>17.33</v>
      </c>
      <c r="I27" s="30" t="n">
        <v>0</v>
      </c>
      <c r="J27" s="115" t="n">
        <f aca="false">SUM(C27:I27)</f>
        <v>43.25</v>
      </c>
    </row>
    <row r="28" customFormat="false" ht="15.75" hidden="false" customHeight="true" outlineLevel="0" collapsed="false">
      <c r="A28" s="24" t="s">
        <v>493</v>
      </c>
      <c r="B28" s="25" t="s">
        <v>448</v>
      </c>
      <c r="C28" s="25" t="n">
        <v>4.49</v>
      </c>
      <c r="D28" s="25" t="n">
        <v>2</v>
      </c>
      <c r="E28" s="25" t="n">
        <v>0</v>
      </c>
      <c r="F28" s="25" t="n">
        <v>0</v>
      </c>
      <c r="G28" s="25" t="n">
        <v>6.42</v>
      </c>
      <c r="H28" s="25" t="n">
        <v>29.84</v>
      </c>
      <c r="I28" s="25" t="n">
        <v>0</v>
      </c>
      <c r="J28" s="114" t="n">
        <f aca="false">SUM(C28:I28)</f>
        <v>42.75</v>
      </c>
    </row>
    <row r="29" customFormat="false" ht="15.75" hidden="false" customHeight="true" outlineLevel="0" collapsed="false">
      <c r="A29" s="29" t="s">
        <v>494</v>
      </c>
      <c r="B29" s="30" t="s">
        <v>442</v>
      </c>
      <c r="C29" s="30" t="n">
        <v>0</v>
      </c>
      <c r="D29" s="30" t="n">
        <v>0</v>
      </c>
      <c r="E29" s="30" t="n">
        <v>6.5</v>
      </c>
      <c r="F29" s="30" t="n">
        <v>0</v>
      </c>
      <c r="G29" s="30" t="n">
        <v>11.58</v>
      </c>
      <c r="H29" s="30" t="n">
        <v>22.83</v>
      </c>
      <c r="I29" s="30" t="n">
        <v>0</v>
      </c>
      <c r="J29" s="115" t="n">
        <f aca="false">SUM(C29:I29)</f>
        <v>40.91</v>
      </c>
    </row>
    <row r="30" customFormat="false" ht="15.75" hidden="false" customHeight="true" outlineLevel="0" collapsed="false">
      <c r="A30" s="24" t="s">
        <v>496</v>
      </c>
      <c r="B30" s="25" t="s">
        <v>439</v>
      </c>
      <c r="C30" s="25" t="n">
        <v>2.5</v>
      </c>
      <c r="D30" s="25" t="n">
        <v>0</v>
      </c>
      <c r="E30" s="25" t="n">
        <v>36.34</v>
      </c>
      <c r="F30" s="25" t="n">
        <v>0</v>
      </c>
      <c r="G30" s="25" t="n">
        <v>0</v>
      </c>
      <c r="H30" s="25" t="n">
        <v>0.25</v>
      </c>
      <c r="I30" s="25" t="n">
        <v>0</v>
      </c>
      <c r="J30" s="114" t="n">
        <f aca="false">SUM(C30:I30)</f>
        <v>39.09</v>
      </c>
    </row>
    <row r="31" customFormat="false" ht="15.75" hidden="false" customHeight="true" outlineLevel="0" collapsed="false">
      <c r="A31" s="29" t="s">
        <v>497</v>
      </c>
      <c r="B31" s="30" t="s">
        <v>448</v>
      </c>
      <c r="C31" s="30" t="n">
        <v>11.99</v>
      </c>
      <c r="D31" s="30" t="n">
        <v>0</v>
      </c>
      <c r="E31" s="30" t="n">
        <v>0</v>
      </c>
      <c r="F31" s="30" t="n">
        <v>0</v>
      </c>
      <c r="G31" s="30" t="n">
        <v>25.67</v>
      </c>
      <c r="H31" s="30" t="n">
        <v>0</v>
      </c>
      <c r="I31" s="30" t="n">
        <v>0</v>
      </c>
      <c r="J31" s="115" t="n">
        <f aca="false">SUM(C31:I31)</f>
        <v>37.66</v>
      </c>
    </row>
    <row r="32" customFormat="false" ht="15.75" hidden="false" customHeight="true" outlineLevel="0" collapsed="false">
      <c r="A32" s="24" t="s">
        <v>522</v>
      </c>
      <c r="B32" s="25" t="s">
        <v>439</v>
      </c>
      <c r="C32" s="25" t="n">
        <v>9.33</v>
      </c>
      <c r="D32" s="25" t="n">
        <v>6.33</v>
      </c>
      <c r="E32" s="25" t="n">
        <v>8.58</v>
      </c>
      <c r="F32" s="25" t="n">
        <v>0.17</v>
      </c>
      <c r="G32" s="25" t="n">
        <v>5.5</v>
      </c>
      <c r="H32" s="25" t="n">
        <v>7.5</v>
      </c>
      <c r="I32" s="25" t="n">
        <v>0</v>
      </c>
      <c r="J32" s="114" t="n">
        <f aca="false">SUM(C32:I32)</f>
        <v>37.41</v>
      </c>
    </row>
    <row r="33" customFormat="false" ht="15.75" hidden="false" customHeight="true" outlineLevel="0" collapsed="false">
      <c r="A33" s="29" t="s">
        <v>523</v>
      </c>
      <c r="B33" s="30" t="s">
        <v>446</v>
      </c>
      <c r="C33" s="30" t="n">
        <v>9.52</v>
      </c>
      <c r="D33" s="30" t="n">
        <v>0</v>
      </c>
      <c r="E33" s="30" t="n">
        <v>0</v>
      </c>
      <c r="F33" s="30" t="n">
        <v>0.08</v>
      </c>
      <c r="G33" s="30" t="n">
        <v>5</v>
      </c>
      <c r="H33" s="30" t="n">
        <v>13.67</v>
      </c>
      <c r="I33" s="30" t="n">
        <v>8.08</v>
      </c>
      <c r="J33" s="115" t="n">
        <f aca="false">SUM(C33:I33)</f>
        <v>36.35</v>
      </c>
    </row>
    <row r="34" customFormat="false" ht="15.75" hidden="false" customHeight="true" outlineLevel="0" collapsed="false">
      <c r="A34" s="24" t="s">
        <v>498</v>
      </c>
      <c r="B34" s="25" t="s">
        <v>448</v>
      </c>
      <c r="C34" s="25" t="n">
        <v>2.66</v>
      </c>
      <c r="D34" s="25" t="n">
        <v>4</v>
      </c>
      <c r="E34" s="25" t="n">
        <v>8.42</v>
      </c>
      <c r="F34" s="25" t="n">
        <v>0</v>
      </c>
      <c r="G34" s="25" t="n">
        <v>4.99</v>
      </c>
      <c r="H34" s="25" t="n">
        <v>1.67</v>
      </c>
      <c r="I34" s="25" t="n">
        <v>14.59</v>
      </c>
      <c r="J34" s="114" t="n">
        <f aca="false">SUM(C34:I34)</f>
        <v>36.33</v>
      </c>
    </row>
    <row r="35" customFormat="false" ht="15.75" hidden="false" customHeight="true" outlineLevel="0" collapsed="false">
      <c r="A35" s="29" t="s">
        <v>499</v>
      </c>
      <c r="B35" s="30" t="s">
        <v>448</v>
      </c>
      <c r="C35" s="30" t="n">
        <v>2.83</v>
      </c>
      <c r="D35" s="30" t="n">
        <v>3.5</v>
      </c>
      <c r="E35" s="30" t="n">
        <v>0</v>
      </c>
      <c r="F35" s="30" t="n">
        <v>0</v>
      </c>
      <c r="G35" s="30" t="n">
        <v>7.5</v>
      </c>
      <c r="H35" s="30" t="n">
        <v>21.75</v>
      </c>
      <c r="I35" s="30" t="n">
        <v>0</v>
      </c>
      <c r="J35" s="115" t="n">
        <f aca="false">SUM(C35:I35)</f>
        <v>35.58</v>
      </c>
    </row>
    <row r="36" customFormat="false" ht="15.75" hidden="false" customHeight="true" outlineLevel="0" collapsed="false">
      <c r="A36" s="24" t="s">
        <v>500</v>
      </c>
      <c r="B36" s="25" t="s">
        <v>446</v>
      </c>
      <c r="C36" s="25" t="n">
        <v>8.66</v>
      </c>
      <c r="D36" s="25" t="n">
        <v>0</v>
      </c>
      <c r="E36" s="25" t="n">
        <v>0</v>
      </c>
      <c r="F36" s="25" t="n">
        <v>0</v>
      </c>
      <c r="G36" s="25" t="n">
        <v>2.5</v>
      </c>
      <c r="H36" s="25" t="n">
        <v>23.5</v>
      </c>
      <c r="I36" s="25" t="n">
        <v>0</v>
      </c>
      <c r="J36" s="114" t="n">
        <f aca="false">SUM(C36:I36)</f>
        <v>34.66</v>
      </c>
    </row>
    <row r="37" customFormat="false" ht="15.75" hidden="false" customHeight="true" outlineLevel="0" collapsed="false">
      <c r="A37" s="29" t="s">
        <v>501</v>
      </c>
      <c r="B37" s="30" t="s">
        <v>439</v>
      </c>
      <c r="C37" s="30" t="n">
        <v>8.5</v>
      </c>
      <c r="D37" s="30" t="n">
        <v>8</v>
      </c>
      <c r="E37" s="30" t="n">
        <v>0</v>
      </c>
      <c r="F37" s="30" t="n">
        <v>0</v>
      </c>
      <c r="G37" s="30" t="n">
        <v>7</v>
      </c>
      <c r="H37" s="30" t="n">
        <v>10.33</v>
      </c>
      <c r="I37" s="30" t="n">
        <v>0</v>
      </c>
      <c r="J37" s="115" t="n">
        <f aca="false">SUM(C37:I37)</f>
        <v>33.83</v>
      </c>
    </row>
    <row r="38" customFormat="false" ht="15.75" hidden="false" customHeight="true" outlineLevel="0" collapsed="false">
      <c r="A38" s="24" t="s">
        <v>524</v>
      </c>
      <c r="B38" s="25" t="s">
        <v>439</v>
      </c>
      <c r="C38" s="25" t="n">
        <v>6</v>
      </c>
      <c r="D38" s="25" t="n">
        <v>5.5</v>
      </c>
      <c r="E38" s="25" t="n">
        <v>4.09</v>
      </c>
      <c r="F38" s="25" t="n">
        <v>0.08</v>
      </c>
      <c r="G38" s="25" t="n">
        <v>9.67</v>
      </c>
      <c r="H38" s="25" t="n">
        <v>7.17</v>
      </c>
      <c r="I38" s="25" t="n">
        <v>0</v>
      </c>
      <c r="J38" s="114" t="n">
        <f aca="false">SUM(C38:I38)</f>
        <v>32.51</v>
      </c>
    </row>
    <row r="39" customFormat="false" ht="15.75" hidden="false" customHeight="true" outlineLevel="0" collapsed="false">
      <c r="A39" s="29" t="s">
        <v>502</v>
      </c>
      <c r="B39" s="30" t="s">
        <v>439</v>
      </c>
      <c r="C39" s="30" t="n">
        <v>15.75</v>
      </c>
      <c r="D39" s="30" t="n">
        <v>3</v>
      </c>
      <c r="E39" s="30" t="n">
        <v>1.33</v>
      </c>
      <c r="F39" s="30" t="n">
        <v>0</v>
      </c>
      <c r="G39" s="30" t="n">
        <v>4.17</v>
      </c>
      <c r="H39" s="30" t="n">
        <v>7.83</v>
      </c>
      <c r="I39" s="30" t="n">
        <v>0</v>
      </c>
      <c r="J39" s="115" t="n">
        <f aca="false">SUM(C39:I39)</f>
        <v>32.08</v>
      </c>
    </row>
    <row r="40" customFormat="false" ht="15.75" hidden="false" customHeight="true" outlineLevel="0" collapsed="false">
      <c r="A40" s="24" t="s">
        <v>503</v>
      </c>
      <c r="B40" s="25" t="s">
        <v>442</v>
      </c>
      <c r="C40" s="25" t="n">
        <v>0</v>
      </c>
      <c r="D40" s="25" t="n">
        <v>0</v>
      </c>
      <c r="E40" s="25" t="n">
        <v>20.84</v>
      </c>
      <c r="F40" s="25" t="n">
        <v>0</v>
      </c>
      <c r="G40" s="25" t="n">
        <v>0</v>
      </c>
      <c r="H40" s="25" t="n">
        <v>8</v>
      </c>
      <c r="I40" s="25" t="n">
        <v>0</v>
      </c>
      <c r="J40" s="114" t="n">
        <f aca="false">SUM(C40:I40)</f>
        <v>28.84</v>
      </c>
    </row>
    <row r="41" customFormat="false" ht="15.75" hidden="false" customHeight="true" outlineLevel="0" collapsed="false">
      <c r="A41" s="29" t="s">
        <v>525</v>
      </c>
      <c r="B41" s="30" t="s">
        <v>439</v>
      </c>
      <c r="C41" s="30" t="n">
        <v>6.84</v>
      </c>
      <c r="D41" s="30" t="n">
        <v>1</v>
      </c>
      <c r="E41" s="30" t="n">
        <v>18</v>
      </c>
      <c r="F41" s="30" t="n">
        <v>0</v>
      </c>
      <c r="G41" s="30" t="n">
        <v>0</v>
      </c>
      <c r="H41" s="30" t="n">
        <v>1.75</v>
      </c>
      <c r="I41" s="30" t="n">
        <v>0</v>
      </c>
      <c r="J41" s="115" t="n">
        <f aca="false">SUM(C41:I41)</f>
        <v>27.59</v>
      </c>
    </row>
    <row r="42" customFormat="false" ht="15.75" hidden="false" customHeight="true" outlineLevel="0" collapsed="false">
      <c r="A42" s="24" t="s">
        <v>451</v>
      </c>
      <c r="B42" s="25" t="s">
        <v>442</v>
      </c>
      <c r="C42" s="25" t="n">
        <v>0</v>
      </c>
      <c r="D42" s="25" t="n">
        <v>0</v>
      </c>
      <c r="E42" s="25" t="n">
        <v>26.7</v>
      </c>
      <c r="F42" s="25" t="n">
        <v>0</v>
      </c>
      <c r="G42" s="25" t="n">
        <v>0</v>
      </c>
      <c r="H42" s="25" t="n">
        <v>0</v>
      </c>
      <c r="I42" s="25" t="n">
        <v>0</v>
      </c>
      <c r="J42" s="114" t="n">
        <f aca="false">SUM(C42:I42)</f>
        <v>26.7</v>
      </c>
    </row>
    <row r="43" customFormat="false" ht="15.75" hidden="false" customHeight="true" outlineLevel="0" collapsed="false">
      <c r="A43" s="29" t="s">
        <v>504</v>
      </c>
      <c r="B43" s="30" t="s">
        <v>439</v>
      </c>
      <c r="C43" s="30" t="n">
        <v>7.25</v>
      </c>
      <c r="D43" s="30" t="n">
        <v>6</v>
      </c>
      <c r="E43" s="30" t="n">
        <v>4.59</v>
      </c>
      <c r="F43" s="30" t="n">
        <v>0</v>
      </c>
      <c r="G43" s="30" t="n">
        <v>6.84</v>
      </c>
      <c r="H43" s="30" t="n">
        <v>1.66</v>
      </c>
      <c r="I43" s="30" t="n">
        <v>0</v>
      </c>
      <c r="J43" s="115" t="n">
        <f aca="false">SUM(C43:I43)</f>
        <v>26.34</v>
      </c>
    </row>
    <row r="44" customFormat="false" ht="15.75" hidden="false" customHeight="true" outlineLevel="0" collapsed="false">
      <c r="A44" s="24" t="s">
        <v>526</v>
      </c>
      <c r="B44" s="25" t="s">
        <v>442</v>
      </c>
      <c r="C44" s="25" t="n">
        <v>0</v>
      </c>
      <c r="D44" s="25" t="n">
        <v>0</v>
      </c>
      <c r="E44" s="25" t="n">
        <v>0</v>
      </c>
      <c r="F44" s="25" t="n">
        <v>0</v>
      </c>
      <c r="G44" s="25" t="n">
        <v>20.5</v>
      </c>
      <c r="H44" s="25" t="n">
        <v>4.33</v>
      </c>
      <c r="I44" s="25" t="n">
        <v>0</v>
      </c>
      <c r="J44" s="114" t="n">
        <f aca="false">SUM(C44:I44)</f>
        <v>24.83</v>
      </c>
    </row>
    <row r="45" customFormat="false" ht="15.75" hidden="false" customHeight="true" outlineLevel="0" collapsed="false">
      <c r="A45" s="29" t="s">
        <v>527</v>
      </c>
      <c r="B45" s="30" t="s">
        <v>454</v>
      </c>
      <c r="C45" s="30" t="n">
        <v>0</v>
      </c>
      <c r="D45" s="30" t="n">
        <v>0</v>
      </c>
      <c r="E45" s="30" t="n">
        <v>13.33</v>
      </c>
      <c r="F45" s="30" t="n">
        <v>0</v>
      </c>
      <c r="G45" s="30" t="n">
        <v>5.17</v>
      </c>
      <c r="H45" s="30" t="n">
        <v>5.42</v>
      </c>
      <c r="I45" s="30" t="n">
        <v>0</v>
      </c>
      <c r="J45" s="115" t="n">
        <f aca="false">SUM(C45:I45)</f>
        <v>23.92</v>
      </c>
    </row>
    <row r="46" customFormat="false" ht="15.75" hidden="false" customHeight="true" outlineLevel="0" collapsed="false">
      <c r="A46" s="24" t="s">
        <v>505</v>
      </c>
      <c r="B46" s="25" t="s">
        <v>439</v>
      </c>
      <c r="C46" s="25" t="n">
        <v>5.58</v>
      </c>
      <c r="D46" s="25" t="n">
        <v>0</v>
      </c>
      <c r="E46" s="25" t="n">
        <v>0</v>
      </c>
      <c r="F46" s="25" t="n">
        <v>0</v>
      </c>
      <c r="G46" s="25" t="n">
        <v>4.25</v>
      </c>
      <c r="H46" s="25" t="n">
        <v>13.91</v>
      </c>
      <c r="I46" s="25" t="n">
        <v>0</v>
      </c>
      <c r="J46" s="114" t="n">
        <f aca="false">SUM(C46:I46)</f>
        <v>23.74</v>
      </c>
    </row>
    <row r="47" customFormat="false" ht="15.75" hidden="false" customHeight="true" outlineLevel="0" collapsed="false">
      <c r="A47" s="29" t="s">
        <v>506</v>
      </c>
      <c r="B47" s="30" t="s">
        <v>439</v>
      </c>
      <c r="C47" s="30" t="n">
        <v>0</v>
      </c>
      <c r="D47" s="30" t="n">
        <v>0</v>
      </c>
      <c r="E47" s="30" t="n">
        <v>17.17</v>
      </c>
      <c r="F47" s="30" t="n">
        <v>0</v>
      </c>
      <c r="G47" s="30" t="n">
        <v>3</v>
      </c>
      <c r="H47" s="30" t="n">
        <v>2.75</v>
      </c>
      <c r="I47" s="30" t="n">
        <v>0</v>
      </c>
      <c r="J47" s="115" t="n">
        <f aca="false">SUM(C47:I47)</f>
        <v>22.92</v>
      </c>
    </row>
    <row r="48" customFormat="false" ht="15.75" hidden="false" customHeight="true" outlineLevel="0" collapsed="false">
      <c r="A48" s="24" t="s">
        <v>507</v>
      </c>
      <c r="B48" s="25" t="s">
        <v>442</v>
      </c>
      <c r="C48" s="25" t="n">
        <v>15.05</v>
      </c>
      <c r="D48" s="25" t="n">
        <v>0</v>
      </c>
      <c r="E48" s="25" t="n">
        <v>0</v>
      </c>
      <c r="F48" s="25" t="n">
        <v>0</v>
      </c>
      <c r="G48" s="25" t="n">
        <v>1.33</v>
      </c>
      <c r="H48" s="25" t="n">
        <v>0</v>
      </c>
      <c r="I48" s="25" t="n">
        <v>6.09</v>
      </c>
      <c r="J48" s="114" t="n">
        <f aca="false">SUM(C48:I48)</f>
        <v>22.47</v>
      </c>
    </row>
    <row r="49" customFormat="false" ht="15.75" hidden="false" customHeight="true" outlineLevel="0" collapsed="false">
      <c r="A49" s="29" t="s">
        <v>529</v>
      </c>
      <c r="B49" s="30" t="s">
        <v>442</v>
      </c>
      <c r="C49" s="30" t="n">
        <v>0</v>
      </c>
      <c r="D49" s="30" t="n">
        <v>0</v>
      </c>
      <c r="E49" s="30" t="n">
        <v>0</v>
      </c>
      <c r="F49" s="30" t="n">
        <v>0</v>
      </c>
      <c r="G49" s="30" t="n">
        <v>14.67</v>
      </c>
      <c r="H49" s="30" t="n">
        <v>7</v>
      </c>
      <c r="I49" s="30" t="n">
        <v>0</v>
      </c>
      <c r="J49" s="115" t="n">
        <f aca="false">SUM(C49:I49)</f>
        <v>21.67</v>
      </c>
    </row>
    <row r="50" customFormat="false" ht="15.75" hidden="false" customHeight="true" outlineLevel="0" collapsed="false">
      <c r="A50" s="24" t="s">
        <v>528</v>
      </c>
      <c r="B50" s="25" t="s">
        <v>439</v>
      </c>
      <c r="C50" s="25" t="n">
        <v>17</v>
      </c>
      <c r="D50" s="25" t="n">
        <v>0</v>
      </c>
      <c r="E50" s="25" t="n">
        <v>1</v>
      </c>
      <c r="F50" s="25" t="n">
        <v>0</v>
      </c>
      <c r="G50" s="25" t="n">
        <v>1</v>
      </c>
      <c r="H50" s="25" t="n">
        <v>2.5</v>
      </c>
      <c r="I50" s="25" t="n">
        <v>0</v>
      </c>
      <c r="J50" s="114" t="n">
        <f aca="false">SUM(C50:I50)</f>
        <v>21.5</v>
      </c>
    </row>
    <row r="51" customFormat="false" ht="15.75" hidden="false" customHeight="true" outlineLevel="0" collapsed="false">
      <c r="A51" s="29" t="s">
        <v>495</v>
      </c>
      <c r="B51" s="30" t="s">
        <v>446</v>
      </c>
      <c r="C51" s="30" t="n">
        <v>11.41</v>
      </c>
      <c r="D51" s="30" t="n">
        <v>0</v>
      </c>
      <c r="E51" s="30" t="n">
        <v>4.42</v>
      </c>
      <c r="F51" s="30" t="n">
        <v>0</v>
      </c>
      <c r="G51" s="30" t="n">
        <v>0</v>
      </c>
      <c r="H51" s="30" t="n">
        <v>0</v>
      </c>
      <c r="I51" s="30" t="n">
        <v>4</v>
      </c>
      <c r="J51" s="115" t="n">
        <f aca="false">SUM(C51:I51)</f>
        <v>19.83</v>
      </c>
    </row>
    <row r="52" customFormat="false" ht="15.75" hidden="false" customHeight="true" outlineLevel="0" collapsed="false">
      <c r="A52" s="24" t="s">
        <v>508</v>
      </c>
      <c r="B52" s="25" t="s">
        <v>439</v>
      </c>
      <c r="C52" s="25" t="n">
        <v>0</v>
      </c>
      <c r="D52" s="25" t="n">
        <v>0</v>
      </c>
      <c r="E52" s="25" t="n">
        <v>10</v>
      </c>
      <c r="F52" s="25" t="n">
        <v>0</v>
      </c>
      <c r="G52" s="25" t="n">
        <v>7.5</v>
      </c>
      <c r="H52" s="25" t="n">
        <v>1.83</v>
      </c>
      <c r="I52" s="25" t="n">
        <v>0</v>
      </c>
      <c r="J52" s="114" t="n">
        <f aca="false">SUM(C52:I52)</f>
        <v>19.33</v>
      </c>
    </row>
    <row r="53" customFormat="false" ht="15.75" hidden="false" customHeight="true" outlineLevel="0" collapsed="false">
      <c r="A53" s="29" t="s">
        <v>509</v>
      </c>
      <c r="B53" s="30" t="s">
        <v>439</v>
      </c>
      <c r="C53" s="30" t="n">
        <v>1.25</v>
      </c>
      <c r="D53" s="30" t="n">
        <v>0</v>
      </c>
      <c r="E53" s="30" t="n">
        <v>0</v>
      </c>
      <c r="F53" s="30" t="n">
        <v>0</v>
      </c>
      <c r="G53" s="30" t="n">
        <v>9.5</v>
      </c>
      <c r="H53" s="30" t="n">
        <v>8.17</v>
      </c>
      <c r="I53" s="30" t="n">
        <v>0</v>
      </c>
      <c r="J53" s="115" t="n">
        <f aca="false">SUM(C53:I53)</f>
        <v>18.92</v>
      </c>
    </row>
    <row r="54" customFormat="false" ht="15.75" hidden="false" customHeight="true" outlineLevel="0" collapsed="false">
      <c r="A54" s="24" t="s">
        <v>510</v>
      </c>
      <c r="B54" s="25" t="s">
        <v>439</v>
      </c>
      <c r="C54" s="25" t="n">
        <v>8</v>
      </c>
      <c r="D54" s="25" t="n">
        <v>0</v>
      </c>
      <c r="E54" s="25" t="n">
        <v>7.91</v>
      </c>
      <c r="F54" s="25" t="n">
        <v>0</v>
      </c>
      <c r="G54" s="25" t="n">
        <v>0</v>
      </c>
      <c r="H54" s="25" t="n">
        <v>1.25</v>
      </c>
      <c r="I54" s="25" t="n">
        <v>0</v>
      </c>
      <c r="J54" s="114" t="n">
        <f aca="false">SUM(C54:I54)</f>
        <v>17.16</v>
      </c>
    </row>
    <row r="55" customFormat="false" ht="15.75" hidden="false" customHeight="true" outlineLevel="0" collapsed="false">
      <c r="A55" s="29" t="s">
        <v>530</v>
      </c>
      <c r="B55" s="30" t="s">
        <v>442</v>
      </c>
      <c r="C55" s="30" t="n">
        <v>0</v>
      </c>
      <c r="D55" s="30" t="n">
        <v>0</v>
      </c>
      <c r="E55" s="30" t="n">
        <v>0</v>
      </c>
      <c r="F55" s="30" t="n">
        <v>0</v>
      </c>
      <c r="G55" s="30" t="n">
        <v>0</v>
      </c>
      <c r="H55" s="30" t="n">
        <v>16.66</v>
      </c>
      <c r="I55" s="30" t="n">
        <v>0</v>
      </c>
      <c r="J55" s="115" t="n">
        <f aca="false">SUM(C55:I55)</f>
        <v>16.66</v>
      </c>
    </row>
    <row r="56" customFormat="false" ht="15.75" hidden="false" customHeight="true" outlineLevel="0" collapsed="false">
      <c r="A56" s="24" t="s">
        <v>538</v>
      </c>
      <c r="B56" s="25" t="s">
        <v>448</v>
      </c>
      <c r="C56" s="25" t="n">
        <v>0</v>
      </c>
      <c r="D56" s="25" t="n">
        <v>0</v>
      </c>
      <c r="E56" s="25" t="n">
        <v>15.92</v>
      </c>
      <c r="F56" s="25" t="n">
        <v>0</v>
      </c>
      <c r="G56" s="25" t="n">
        <v>0</v>
      </c>
      <c r="H56" s="25" t="n">
        <v>0</v>
      </c>
      <c r="I56" s="25" t="n">
        <v>0</v>
      </c>
      <c r="J56" s="114" t="n">
        <f aca="false">SUM(C56:I56)</f>
        <v>15.92</v>
      </c>
    </row>
    <row r="57" customFormat="false" ht="15.75" hidden="false" customHeight="true" outlineLevel="0" collapsed="false">
      <c r="A57" s="29" t="s">
        <v>511</v>
      </c>
      <c r="B57" s="30" t="s">
        <v>439</v>
      </c>
      <c r="C57" s="30" t="n">
        <v>0.67</v>
      </c>
      <c r="D57" s="30" t="n">
        <v>0</v>
      </c>
      <c r="E57" s="30" t="n">
        <v>0</v>
      </c>
      <c r="F57" s="30" t="n">
        <v>0</v>
      </c>
      <c r="G57" s="30" t="n">
        <v>4.5</v>
      </c>
      <c r="H57" s="30" t="n">
        <v>9.17</v>
      </c>
      <c r="I57" s="30" t="n">
        <v>0</v>
      </c>
      <c r="J57" s="115" t="n">
        <f aca="false">SUM(C57:I57)</f>
        <v>14.34</v>
      </c>
    </row>
    <row r="58" customFormat="false" ht="15.75" hidden="false" customHeight="true" outlineLevel="0" collapsed="false">
      <c r="A58" s="24" t="s">
        <v>540</v>
      </c>
      <c r="B58" s="25" t="s">
        <v>448</v>
      </c>
      <c r="C58" s="25" t="n">
        <v>0.83</v>
      </c>
      <c r="D58" s="25" t="n">
        <v>0</v>
      </c>
      <c r="E58" s="25" t="n">
        <v>0</v>
      </c>
      <c r="F58" s="25" t="n">
        <v>0</v>
      </c>
      <c r="G58" s="25" t="n">
        <v>6.17</v>
      </c>
      <c r="H58" s="25" t="n">
        <v>6.92</v>
      </c>
      <c r="I58" s="25" t="n">
        <v>0</v>
      </c>
      <c r="J58" s="114" t="n">
        <f aca="false">SUM(C58:I58)</f>
        <v>13.92</v>
      </c>
    </row>
    <row r="59" customFormat="false" ht="15.75" hidden="false" customHeight="true" outlineLevel="0" collapsed="false">
      <c r="A59" s="29" t="s">
        <v>512</v>
      </c>
      <c r="B59" s="30" t="s">
        <v>448</v>
      </c>
      <c r="C59" s="30" t="n">
        <v>3.5</v>
      </c>
      <c r="D59" s="30" t="n">
        <v>0</v>
      </c>
      <c r="E59" s="30" t="n">
        <v>0.17</v>
      </c>
      <c r="F59" s="30" t="n">
        <v>0</v>
      </c>
      <c r="G59" s="30" t="n">
        <v>4.25</v>
      </c>
      <c r="H59" s="30" t="n">
        <v>5.5</v>
      </c>
      <c r="I59" s="30" t="n">
        <v>0</v>
      </c>
      <c r="J59" s="115" t="n">
        <f aca="false">SUM(C59:I59)</f>
        <v>13.42</v>
      </c>
    </row>
    <row r="60" customFormat="false" ht="15.75" hidden="false" customHeight="true" outlineLevel="0" collapsed="false">
      <c r="A60" s="24" t="s">
        <v>531</v>
      </c>
      <c r="B60" s="25" t="s">
        <v>442</v>
      </c>
      <c r="C60" s="25" t="n">
        <v>0</v>
      </c>
      <c r="D60" s="25" t="n">
        <v>0</v>
      </c>
      <c r="E60" s="25" t="n">
        <v>8.83</v>
      </c>
      <c r="F60" s="25" t="n">
        <v>0</v>
      </c>
      <c r="G60" s="25" t="n">
        <v>0</v>
      </c>
      <c r="H60" s="25" t="n">
        <v>0</v>
      </c>
      <c r="I60" s="25" t="n">
        <v>0</v>
      </c>
      <c r="J60" s="114" t="n">
        <f aca="false">SUM(C60:I60)</f>
        <v>8.83</v>
      </c>
    </row>
    <row r="61" customFormat="false" ht="15.75" hidden="false" customHeight="true" outlineLevel="0" collapsed="false">
      <c r="A61" s="29" t="s">
        <v>532</v>
      </c>
      <c r="B61" s="30" t="s">
        <v>439</v>
      </c>
      <c r="C61" s="30" t="n">
        <v>0</v>
      </c>
      <c r="D61" s="30" t="n">
        <v>0</v>
      </c>
      <c r="E61" s="30" t="n">
        <v>3</v>
      </c>
      <c r="F61" s="30" t="n">
        <v>0</v>
      </c>
      <c r="G61" s="30" t="n">
        <v>4.83</v>
      </c>
      <c r="H61" s="30" t="n">
        <v>0.75</v>
      </c>
      <c r="I61" s="30" t="n">
        <v>0</v>
      </c>
      <c r="J61" s="115" t="n">
        <f aca="false">SUM(C61:I61)</f>
        <v>8.58</v>
      </c>
    </row>
    <row r="62" customFormat="false" ht="15.75" hidden="false" customHeight="true" outlineLevel="0" collapsed="false">
      <c r="A62" s="24" t="s">
        <v>541</v>
      </c>
      <c r="B62" s="25" t="s">
        <v>442</v>
      </c>
      <c r="C62" s="25" t="n">
        <v>0</v>
      </c>
      <c r="D62" s="25" t="n">
        <v>0</v>
      </c>
      <c r="E62" s="25" t="n">
        <v>0</v>
      </c>
      <c r="F62" s="25" t="n">
        <v>0</v>
      </c>
      <c r="G62" s="25" t="n">
        <v>0</v>
      </c>
      <c r="H62" s="25" t="n">
        <v>8.5</v>
      </c>
      <c r="I62" s="25" t="n">
        <v>0</v>
      </c>
      <c r="J62" s="114" t="n">
        <f aca="false">SUM(C62:I62)</f>
        <v>8.5</v>
      </c>
    </row>
    <row r="63" customFormat="false" ht="15.75" hidden="false" customHeight="true" outlineLevel="0" collapsed="false">
      <c r="A63" s="29" t="s">
        <v>533</v>
      </c>
      <c r="B63" s="30" t="s">
        <v>439</v>
      </c>
      <c r="C63" s="30" t="n">
        <v>2</v>
      </c>
      <c r="D63" s="30" t="n">
        <v>0</v>
      </c>
      <c r="E63" s="30" t="n">
        <v>4.17</v>
      </c>
      <c r="F63" s="30" t="n">
        <v>0</v>
      </c>
      <c r="G63" s="30" t="n">
        <v>0</v>
      </c>
      <c r="H63" s="30" t="n">
        <v>2.08</v>
      </c>
      <c r="I63" s="30" t="n">
        <v>0</v>
      </c>
      <c r="J63" s="115" t="n">
        <f aca="false">SUM(C63:I63)</f>
        <v>8.25</v>
      </c>
    </row>
    <row r="64" customFormat="false" ht="15.75" hidden="false" customHeight="true" outlineLevel="0" collapsed="false">
      <c r="A64" s="24" t="s">
        <v>513</v>
      </c>
      <c r="B64" s="25" t="s">
        <v>439</v>
      </c>
      <c r="C64" s="25" t="n">
        <v>7</v>
      </c>
      <c r="D64" s="25" t="n">
        <v>0</v>
      </c>
      <c r="E64" s="25" t="n">
        <v>1.25</v>
      </c>
      <c r="F64" s="25" t="n">
        <v>0</v>
      </c>
      <c r="G64" s="25" t="n">
        <v>0</v>
      </c>
      <c r="H64" s="25" t="n">
        <v>0</v>
      </c>
      <c r="I64" s="25" t="n">
        <v>0</v>
      </c>
      <c r="J64" s="114" t="n">
        <f aca="false">SUM(C64:I64)</f>
        <v>8.25</v>
      </c>
    </row>
    <row r="65" customFormat="false" ht="15.75" hidden="false" customHeight="true" outlineLevel="0" collapsed="false">
      <c r="A65" s="29" t="s">
        <v>534</v>
      </c>
      <c r="B65" s="30" t="s">
        <v>439</v>
      </c>
      <c r="C65" s="30" t="n">
        <v>2.34</v>
      </c>
      <c r="D65" s="30" t="n">
        <v>0</v>
      </c>
      <c r="E65" s="30" t="n">
        <v>4.25</v>
      </c>
      <c r="F65" s="30" t="n">
        <v>0</v>
      </c>
      <c r="G65" s="30" t="n">
        <v>0.17</v>
      </c>
      <c r="H65" s="30" t="n">
        <v>0.5</v>
      </c>
      <c r="I65" s="30" t="n">
        <v>0</v>
      </c>
      <c r="J65" s="115" t="n">
        <f aca="false">SUM(C65:I65)</f>
        <v>7.26</v>
      </c>
    </row>
    <row r="66" customFormat="false" ht="15.75" hidden="false" customHeight="true" outlineLevel="0" collapsed="false">
      <c r="A66" s="24" t="s">
        <v>542</v>
      </c>
      <c r="B66" s="25" t="s">
        <v>446</v>
      </c>
      <c r="C66" s="25" t="n">
        <v>0</v>
      </c>
      <c r="D66" s="25" t="n">
        <v>0</v>
      </c>
      <c r="E66" s="25" t="n">
        <v>0</v>
      </c>
      <c r="F66" s="25" t="n">
        <v>0</v>
      </c>
      <c r="G66" s="25" t="n">
        <v>0</v>
      </c>
      <c r="H66" s="25" t="n">
        <v>6.33</v>
      </c>
      <c r="I66" s="25" t="n">
        <v>0</v>
      </c>
      <c r="J66" s="114" t="n">
        <f aca="false">SUM(C66:I66)</f>
        <v>6.33</v>
      </c>
    </row>
    <row r="67" customFormat="false" ht="15.75" hidden="false" customHeight="true" outlineLevel="0" collapsed="false">
      <c r="A67" s="29" t="s">
        <v>535</v>
      </c>
      <c r="B67" s="30" t="s">
        <v>439</v>
      </c>
      <c r="C67" s="30" t="n">
        <v>0</v>
      </c>
      <c r="D67" s="30" t="n">
        <v>0</v>
      </c>
      <c r="E67" s="30" t="n">
        <v>2.17</v>
      </c>
      <c r="F67" s="30" t="n">
        <v>0</v>
      </c>
      <c r="G67" s="30" t="n">
        <v>0</v>
      </c>
      <c r="H67" s="30" t="n">
        <v>3.08</v>
      </c>
      <c r="I67" s="30" t="n">
        <v>0</v>
      </c>
      <c r="J67" s="115" t="n">
        <f aca="false">SUM(C67:I67)</f>
        <v>5.25</v>
      </c>
    </row>
    <row r="68" customFormat="false" ht="15.75" hidden="false" customHeight="true" outlineLevel="0" collapsed="false">
      <c r="A68" s="24" t="s">
        <v>514</v>
      </c>
      <c r="B68" s="25" t="s">
        <v>439</v>
      </c>
      <c r="C68" s="25" t="n">
        <v>0</v>
      </c>
      <c r="D68" s="25" t="n">
        <v>0</v>
      </c>
      <c r="E68" s="25" t="n">
        <v>2.75</v>
      </c>
      <c r="F68" s="25" t="n">
        <v>0</v>
      </c>
      <c r="G68" s="25" t="n">
        <v>2.5</v>
      </c>
      <c r="H68" s="25" t="n">
        <v>0</v>
      </c>
      <c r="I68" s="25" t="n">
        <v>0</v>
      </c>
      <c r="J68" s="114" t="n">
        <f aca="false">SUM(C68:I68)</f>
        <v>5.25</v>
      </c>
    </row>
    <row r="69" customFormat="false" ht="15.75" hidden="false" customHeight="true" outlineLevel="0" collapsed="false">
      <c r="A69" s="29" t="s">
        <v>543</v>
      </c>
      <c r="B69" s="30" t="s">
        <v>439</v>
      </c>
      <c r="C69" s="30" t="n">
        <v>0</v>
      </c>
      <c r="D69" s="30" t="n">
        <v>0</v>
      </c>
      <c r="E69" s="30" t="n">
        <v>0</v>
      </c>
      <c r="F69" s="30" t="n">
        <v>0</v>
      </c>
      <c r="G69" s="30" t="n">
        <v>5.17</v>
      </c>
      <c r="H69" s="30" t="n">
        <v>0</v>
      </c>
      <c r="I69" s="30" t="n">
        <v>0</v>
      </c>
      <c r="J69" s="115" t="n">
        <f aca="false">SUM(C69:I69)</f>
        <v>5.17</v>
      </c>
    </row>
    <row r="70" customFormat="false" ht="15.75" hidden="false" customHeight="true" outlineLevel="0" collapsed="false">
      <c r="A70" s="24" t="s">
        <v>515</v>
      </c>
      <c r="B70" s="25" t="s">
        <v>439</v>
      </c>
      <c r="C70" s="25" t="n">
        <v>5.16</v>
      </c>
      <c r="D70" s="25" t="n">
        <v>0</v>
      </c>
      <c r="E70" s="25" t="n">
        <v>0</v>
      </c>
      <c r="F70" s="25" t="n">
        <v>0</v>
      </c>
      <c r="G70" s="25" t="n">
        <v>0</v>
      </c>
      <c r="H70" s="25" t="n">
        <v>0</v>
      </c>
      <c r="I70" s="25" t="n">
        <v>0</v>
      </c>
      <c r="J70" s="114" t="n">
        <f aca="false">SUM(C70:I70)</f>
        <v>5.16</v>
      </c>
    </row>
    <row r="71" customFormat="false" ht="15.75" hidden="false" customHeight="true" outlineLevel="0" collapsed="false">
      <c r="A71" s="29" t="s">
        <v>536</v>
      </c>
      <c r="B71" s="30" t="s">
        <v>439</v>
      </c>
      <c r="C71" s="30" t="n">
        <v>4</v>
      </c>
      <c r="D71" s="30" t="n">
        <v>0</v>
      </c>
      <c r="E71" s="30" t="n">
        <v>0.33</v>
      </c>
      <c r="F71" s="30" t="n">
        <v>0</v>
      </c>
      <c r="G71" s="30" t="n">
        <v>0</v>
      </c>
      <c r="H71" s="30" t="n">
        <v>0</v>
      </c>
      <c r="I71" s="30" t="n">
        <v>0</v>
      </c>
      <c r="J71" s="115" t="n">
        <f aca="false">SUM(C71:I71)</f>
        <v>4.33</v>
      </c>
    </row>
    <row r="72" customFormat="false" ht="15.75" hidden="false" customHeight="true" outlineLevel="0" collapsed="false">
      <c r="A72" s="24" t="s">
        <v>516</v>
      </c>
      <c r="B72" s="25" t="s">
        <v>448</v>
      </c>
      <c r="C72" s="25" t="n">
        <v>3.5</v>
      </c>
      <c r="D72" s="25" t="n">
        <v>0</v>
      </c>
      <c r="E72" s="25" t="n">
        <v>0.75</v>
      </c>
      <c r="F72" s="25" t="n">
        <v>0</v>
      </c>
      <c r="G72" s="25" t="n">
        <v>0</v>
      </c>
      <c r="H72" s="25" t="n">
        <v>0</v>
      </c>
      <c r="I72" s="25" t="n">
        <v>0</v>
      </c>
      <c r="J72" s="114" t="n">
        <f aca="false">SUM(C72:I72)</f>
        <v>4.25</v>
      </c>
    </row>
    <row r="73" customFormat="false" ht="15.75" hidden="false" customHeight="true" outlineLevel="0" collapsed="false">
      <c r="A73" s="29" t="s">
        <v>545</v>
      </c>
      <c r="B73" s="30" t="s">
        <v>442</v>
      </c>
      <c r="C73" s="30" t="n">
        <v>4</v>
      </c>
      <c r="D73" s="30" t="n">
        <v>0</v>
      </c>
      <c r="E73" s="30" t="n">
        <v>0</v>
      </c>
      <c r="F73" s="30" t="n">
        <v>0</v>
      </c>
      <c r="G73" s="30" t="n">
        <v>0</v>
      </c>
      <c r="H73" s="30" t="n">
        <v>0</v>
      </c>
      <c r="I73" s="30" t="n">
        <v>0</v>
      </c>
      <c r="J73" s="115" t="n">
        <f aca="false">SUM(C73:I73)</f>
        <v>4</v>
      </c>
    </row>
    <row r="74" customFormat="false" ht="15.75" hidden="false" customHeight="true" outlineLevel="0" collapsed="false">
      <c r="A74" s="24" t="s">
        <v>517</v>
      </c>
      <c r="B74" s="25" t="s">
        <v>439</v>
      </c>
      <c r="C74" s="25" t="n">
        <v>3.75</v>
      </c>
      <c r="D74" s="25" t="n">
        <v>0</v>
      </c>
      <c r="E74" s="25" t="n">
        <v>0</v>
      </c>
      <c r="F74" s="25" t="n">
        <v>0</v>
      </c>
      <c r="G74" s="25" t="n">
        <v>0</v>
      </c>
      <c r="H74" s="25" t="n">
        <v>0</v>
      </c>
      <c r="I74" s="25" t="n">
        <v>0</v>
      </c>
      <c r="J74" s="114" t="n">
        <f aca="false">SUM(C74:I74)</f>
        <v>3.75</v>
      </c>
    </row>
    <row r="75" customFormat="false" ht="15.75" hidden="false" customHeight="true" outlineLevel="0" collapsed="false">
      <c r="A75" s="29" t="s">
        <v>537</v>
      </c>
      <c r="B75" s="30" t="s">
        <v>439</v>
      </c>
      <c r="C75" s="30" t="n">
        <v>1.66</v>
      </c>
      <c r="D75" s="30" t="n">
        <v>0</v>
      </c>
      <c r="E75" s="30" t="n">
        <v>1.5</v>
      </c>
      <c r="F75" s="30" t="n">
        <v>0</v>
      </c>
      <c r="G75" s="30" t="n">
        <v>0</v>
      </c>
      <c r="H75" s="30" t="n">
        <v>0</v>
      </c>
      <c r="I75" s="30" t="n">
        <v>0</v>
      </c>
      <c r="J75" s="115" t="n">
        <f aca="false">SUM(C75:I75)</f>
        <v>3.16</v>
      </c>
    </row>
    <row r="76" customFormat="false" ht="15.75" hidden="false" customHeight="true" outlineLevel="0" collapsed="false">
      <c r="A76" s="24" t="s">
        <v>544</v>
      </c>
      <c r="B76" s="25" t="s">
        <v>439</v>
      </c>
      <c r="C76" s="25" t="n">
        <v>0</v>
      </c>
      <c r="D76" s="25" t="n">
        <v>0</v>
      </c>
      <c r="E76" s="25" t="n">
        <v>2.92</v>
      </c>
      <c r="F76" s="25" t="n">
        <v>0</v>
      </c>
      <c r="G76" s="25" t="n">
        <v>0</v>
      </c>
      <c r="H76" s="25" t="n">
        <v>0.17</v>
      </c>
      <c r="I76" s="25" t="n">
        <v>0</v>
      </c>
      <c r="J76" s="114" t="n">
        <f aca="false">SUM(C76:I76)</f>
        <v>3.09</v>
      </c>
    </row>
    <row r="77" customFormat="false" ht="15.75" hidden="false" customHeight="true" outlineLevel="0" collapsed="false">
      <c r="A77" s="29" t="s">
        <v>471</v>
      </c>
      <c r="B77" s="30" t="s">
        <v>439</v>
      </c>
      <c r="C77" s="30" t="n">
        <v>3</v>
      </c>
      <c r="D77" s="30" t="n">
        <v>0</v>
      </c>
      <c r="E77" s="30" t="n">
        <v>0</v>
      </c>
      <c r="F77" s="30" t="n">
        <v>0</v>
      </c>
      <c r="G77" s="30" t="n">
        <v>0</v>
      </c>
      <c r="H77" s="30" t="n">
        <v>0</v>
      </c>
      <c r="I77" s="30" t="n">
        <v>0</v>
      </c>
      <c r="J77" s="115" t="n">
        <f aca="false">SUM(C77:I77)</f>
        <v>3</v>
      </c>
    </row>
    <row r="78" customFormat="false" ht="15.75" hidden="false" customHeight="true" outlineLevel="0" collapsed="false">
      <c r="A78" s="24" t="s">
        <v>470</v>
      </c>
      <c r="B78" s="25" t="s">
        <v>439</v>
      </c>
      <c r="C78" s="25" t="n">
        <v>2.5</v>
      </c>
      <c r="D78" s="25" t="n">
        <v>0</v>
      </c>
      <c r="E78" s="25" t="n">
        <v>0</v>
      </c>
      <c r="F78" s="25" t="n">
        <v>0</v>
      </c>
      <c r="G78" s="25" t="n">
        <v>0</v>
      </c>
      <c r="H78" s="25" t="n">
        <v>0</v>
      </c>
      <c r="I78" s="25" t="n">
        <v>0</v>
      </c>
      <c r="J78" s="114" t="n">
        <f aca="false">SUM(C78:I78)</f>
        <v>2.5</v>
      </c>
    </row>
    <row r="79" customFormat="false" ht="15.75" hidden="false" customHeight="true" outlineLevel="0" collapsed="false">
      <c r="A79" s="29" t="s">
        <v>468</v>
      </c>
      <c r="B79" s="30" t="s">
        <v>448</v>
      </c>
      <c r="C79" s="30" t="n">
        <v>2</v>
      </c>
      <c r="D79" s="30" t="n">
        <v>0</v>
      </c>
      <c r="E79" s="30" t="n">
        <v>0</v>
      </c>
      <c r="F79" s="30" t="n">
        <v>0</v>
      </c>
      <c r="G79" s="30" t="n">
        <v>0</v>
      </c>
      <c r="H79" s="30" t="n">
        <v>0</v>
      </c>
      <c r="I79" s="30" t="n">
        <v>0</v>
      </c>
      <c r="J79" s="115" t="n">
        <f aca="false">SUM(C79:I79)</f>
        <v>2</v>
      </c>
    </row>
    <row r="80" customFormat="false" ht="15.75" hidden="false" customHeight="true" outlineLevel="0" collapsed="false">
      <c r="A80" s="24" t="s">
        <v>467</v>
      </c>
      <c r="B80" s="25" t="s">
        <v>439</v>
      </c>
      <c r="C80" s="25" t="n">
        <v>1.83</v>
      </c>
      <c r="D80" s="25" t="n">
        <v>0</v>
      </c>
      <c r="E80" s="25" t="n">
        <v>0</v>
      </c>
      <c r="F80" s="25" t="n">
        <v>0</v>
      </c>
      <c r="G80" s="25" t="n">
        <v>0</v>
      </c>
      <c r="H80" s="25" t="n">
        <v>0</v>
      </c>
      <c r="I80" s="25" t="n">
        <v>0</v>
      </c>
      <c r="J80" s="114" t="n">
        <f aca="false">SUM(C80:I80)</f>
        <v>1.83</v>
      </c>
    </row>
    <row r="81" customFormat="false" ht="15.75" hidden="false" customHeight="true" outlineLevel="0" collapsed="false">
      <c r="A81" s="29" t="s">
        <v>469</v>
      </c>
      <c r="B81" s="30" t="s">
        <v>439</v>
      </c>
      <c r="C81" s="30" t="n">
        <v>0</v>
      </c>
      <c r="D81" s="30" t="n">
        <v>0</v>
      </c>
      <c r="E81" s="30" t="n">
        <v>0</v>
      </c>
      <c r="F81" s="30" t="n">
        <v>0</v>
      </c>
      <c r="G81" s="30" t="n">
        <v>1.83</v>
      </c>
      <c r="H81" s="30" t="n">
        <v>0</v>
      </c>
      <c r="I81" s="30" t="n">
        <v>0</v>
      </c>
      <c r="J81" s="115" t="n">
        <f aca="false">SUM(C81:I81)</f>
        <v>1.83</v>
      </c>
    </row>
    <row r="82" customFormat="false" ht="15.75" hidden="false" customHeight="true" outlineLevel="0" collapsed="false">
      <c r="A82" s="24" t="s">
        <v>465</v>
      </c>
      <c r="B82" s="25" t="s">
        <v>446</v>
      </c>
      <c r="C82" s="25" t="n">
        <v>1</v>
      </c>
      <c r="D82" s="25" t="n">
        <v>0</v>
      </c>
      <c r="E82" s="25" t="n">
        <v>0</v>
      </c>
      <c r="F82" s="25" t="n">
        <v>0</v>
      </c>
      <c r="G82" s="25" t="n">
        <v>0</v>
      </c>
      <c r="H82" s="25" t="n">
        <v>0</v>
      </c>
      <c r="I82" s="25" t="n">
        <v>0</v>
      </c>
      <c r="J82" s="114" t="n">
        <f aca="false">SUM(C82:I82)</f>
        <v>1</v>
      </c>
    </row>
    <row r="83" customFormat="false" ht="15.75" hidden="false" customHeight="true" outlineLevel="0" collapsed="false">
      <c r="A83" s="29" t="s">
        <v>466</v>
      </c>
      <c r="B83" s="30" t="s">
        <v>439</v>
      </c>
      <c r="C83" s="30" t="n">
        <v>1</v>
      </c>
      <c r="D83" s="30" t="n">
        <v>0</v>
      </c>
      <c r="E83" s="30" t="n">
        <v>0</v>
      </c>
      <c r="F83" s="30" t="n">
        <v>0</v>
      </c>
      <c r="G83" s="30" t="n">
        <v>0</v>
      </c>
      <c r="H83" s="30" t="n">
        <v>0</v>
      </c>
      <c r="I83" s="30" t="n">
        <v>0</v>
      </c>
      <c r="J83" s="115" t="n">
        <f aca="false">SUM(C83:I83)</f>
        <v>1</v>
      </c>
    </row>
    <row r="84" customFormat="false" ht="15.75" hidden="false" customHeight="true" outlineLevel="0" collapsed="false">
      <c r="A84" s="24" t="s">
        <v>464</v>
      </c>
      <c r="B84" s="25" t="s">
        <v>448</v>
      </c>
      <c r="C84" s="25" t="n">
        <v>0.92</v>
      </c>
      <c r="D84" s="25" t="n">
        <v>0</v>
      </c>
      <c r="E84" s="25" t="n">
        <v>0</v>
      </c>
      <c r="F84" s="25" t="n">
        <v>0</v>
      </c>
      <c r="G84" s="25" t="n">
        <v>0</v>
      </c>
      <c r="H84" s="25" t="n">
        <v>0</v>
      </c>
      <c r="I84" s="25" t="n">
        <v>0</v>
      </c>
      <c r="J84" s="114" t="n">
        <f aca="false">SUM(C84:I84)</f>
        <v>0.92</v>
      </c>
    </row>
    <row r="85" customFormat="false" ht="15.75" hidden="false" customHeight="true" outlineLevel="0" collapsed="false">
      <c r="A85" s="29" t="s">
        <v>453</v>
      </c>
      <c r="B85" s="30" t="s">
        <v>454</v>
      </c>
      <c r="C85" s="30" t="n">
        <v>0</v>
      </c>
      <c r="D85" s="30" t="n">
        <v>0</v>
      </c>
      <c r="E85" s="30" t="n">
        <v>0</v>
      </c>
      <c r="F85" s="30" t="n">
        <v>0</v>
      </c>
      <c r="G85" s="30" t="n">
        <v>0</v>
      </c>
      <c r="H85" s="30" t="n">
        <v>0.92</v>
      </c>
      <c r="I85" s="30" t="n">
        <v>0</v>
      </c>
      <c r="J85" s="115" t="n">
        <f aca="false">SUM(C85:I85)</f>
        <v>0.92</v>
      </c>
    </row>
    <row r="86" customFormat="false" ht="15.75" hidden="false" customHeight="true" outlineLevel="0" collapsed="false">
      <c r="A86" s="24" t="s">
        <v>462</v>
      </c>
      <c r="B86" s="25" t="s">
        <v>439</v>
      </c>
      <c r="C86" s="25" t="n">
        <v>0.5</v>
      </c>
      <c r="D86" s="25" t="n">
        <v>0</v>
      </c>
      <c r="E86" s="25" t="n">
        <v>0</v>
      </c>
      <c r="F86" s="25" t="n">
        <v>0</v>
      </c>
      <c r="G86" s="25" t="n">
        <v>0</v>
      </c>
      <c r="H86" s="25" t="n">
        <v>0</v>
      </c>
      <c r="I86" s="25" t="n">
        <v>0</v>
      </c>
      <c r="J86" s="114" t="n">
        <f aca="false">SUM(C86:I86)</f>
        <v>0.5</v>
      </c>
    </row>
    <row r="87" customFormat="false" ht="15.75" hidden="false" customHeight="true" outlineLevel="0" collapsed="false">
      <c r="A87" s="29" t="s">
        <v>463</v>
      </c>
      <c r="B87" s="30" t="s">
        <v>439</v>
      </c>
      <c r="C87" s="30" t="n">
        <v>0</v>
      </c>
      <c r="D87" s="30" t="n">
        <v>0</v>
      </c>
      <c r="E87" s="30" t="n">
        <v>0</v>
      </c>
      <c r="F87" s="30" t="n">
        <v>0</v>
      </c>
      <c r="G87" s="30" t="n">
        <v>0</v>
      </c>
      <c r="H87" s="30" t="n">
        <v>0.5</v>
      </c>
      <c r="I87" s="30" t="n">
        <v>0</v>
      </c>
      <c r="J87" s="115" t="n">
        <f aca="false">SUM(C87:I87)</f>
        <v>0.5</v>
      </c>
    </row>
    <row r="88" customFormat="false" ht="15.75" hidden="false" customHeight="true" outlineLevel="0" collapsed="false"/>
    <row r="89" customFormat="false" ht="15.75" hidden="false" customHeight="true" outlineLevel="0" collapsed="false"/>
    <row r="90" customFormat="false" ht="15.75" hidden="false" customHeight="true" outlineLevel="0" collapsed="false">
      <c r="A90" s="45" t="s">
        <v>159</v>
      </c>
      <c r="B90" s="45"/>
      <c r="C90" s="45"/>
      <c r="D90" s="45"/>
      <c r="E90" s="45"/>
      <c r="F90" s="45"/>
      <c r="G90" s="45"/>
      <c r="H90" s="45"/>
      <c r="I90" s="45"/>
      <c r="J90" s="45"/>
    </row>
    <row r="91" customFormat="false" ht="15.75" hidden="false" customHeight="true" outlineLevel="0" collapsed="false">
      <c r="A91" s="46" t="s">
        <v>637</v>
      </c>
      <c r="B91" s="46"/>
      <c r="C91" s="46"/>
      <c r="D91" s="46"/>
      <c r="E91" s="46"/>
      <c r="F91" s="46"/>
      <c r="G91" s="46"/>
      <c r="H91" s="46"/>
      <c r="I91" s="46"/>
      <c r="J91" s="46"/>
    </row>
    <row r="92" customFormat="false" ht="15.75" hidden="false" customHeight="true" outlineLevel="0" collapsed="false">
      <c r="A92" s="46" t="s">
        <v>638</v>
      </c>
      <c r="B92" s="46"/>
      <c r="C92" s="46"/>
      <c r="D92" s="46"/>
      <c r="E92" s="46"/>
      <c r="F92" s="46"/>
      <c r="G92" s="46"/>
      <c r="H92" s="46"/>
      <c r="I92" s="46"/>
      <c r="J92" s="46"/>
    </row>
    <row r="93" customFormat="false" ht="15.75" hidden="false" customHeight="true" outlineLevel="0" collapsed="false">
      <c r="A93" s="46" t="s">
        <v>639</v>
      </c>
      <c r="B93" s="46"/>
      <c r="C93" s="46"/>
      <c r="D93" s="46"/>
      <c r="E93" s="46"/>
      <c r="F93" s="46"/>
      <c r="G93" s="46"/>
      <c r="H93" s="46"/>
      <c r="I93" s="46"/>
      <c r="J93" s="46"/>
    </row>
    <row r="94" customFormat="false" ht="15.75" hidden="false" customHeight="true" outlineLevel="0" collapsed="false">
      <c r="A94" s="46" t="s">
        <v>640</v>
      </c>
      <c r="B94" s="46"/>
      <c r="C94" s="46"/>
      <c r="D94" s="46"/>
      <c r="E94" s="46"/>
      <c r="F94" s="46"/>
      <c r="G94" s="46"/>
      <c r="H94" s="46"/>
      <c r="I94" s="46"/>
      <c r="J94" s="46"/>
    </row>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3:J87"/>
  <mergeCells count="7">
    <mergeCell ref="A1:J1"/>
    <mergeCell ref="A2:J2"/>
    <mergeCell ref="A90:J90"/>
    <mergeCell ref="A91:J91"/>
    <mergeCell ref="A92:J92"/>
    <mergeCell ref="A93:J93"/>
    <mergeCell ref="A94:J94"/>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18"/>
    <col collapsed="false" customWidth="true" hidden="false" outlineLevel="0" max="2" min="2" style="1" width="32"/>
    <col collapsed="false" customWidth="true" hidden="false" outlineLevel="0" max="3" min="3" style="1" width="26"/>
    <col collapsed="false" customWidth="true" hidden="false" outlineLevel="0" max="4" min="4" style="1" width="12"/>
    <col collapsed="false" customWidth="true" hidden="false" outlineLevel="0" max="5" min="5" style="1" width="18"/>
    <col collapsed="false" customWidth="true" hidden="false" outlineLevel="0" max="6" min="6" style="1" width="10"/>
    <col collapsed="false" customWidth="true" hidden="false" outlineLevel="0" max="7" min="7" style="1" width="30"/>
    <col collapsed="false" customWidth="true" hidden="false" outlineLevel="0" max="26" min="8" style="1" width="8.71"/>
  </cols>
  <sheetData>
    <row r="1" customFormat="false" ht="39.75" hidden="false" customHeight="true" outlineLevel="0" collapsed="false">
      <c r="A1" s="53" t="s">
        <v>641</v>
      </c>
      <c r="B1" s="53"/>
      <c r="C1" s="53"/>
      <c r="D1" s="53"/>
      <c r="E1" s="53"/>
      <c r="F1" s="53"/>
      <c r="G1" s="53"/>
    </row>
    <row r="2" customFormat="false" ht="19.5" hidden="false" customHeight="true" outlineLevel="0" collapsed="false">
      <c r="A2" s="20" t="s">
        <v>642</v>
      </c>
      <c r="B2" s="20"/>
      <c r="C2" s="20"/>
      <c r="D2" s="20"/>
      <c r="E2" s="20"/>
      <c r="F2" s="20"/>
      <c r="G2" s="20"/>
    </row>
    <row r="3" customFormat="false" ht="30" hidden="false" customHeight="true" outlineLevel="0" collapsed="false">
      <c r="A3" s="120" t="s">
        <v>643</v>
      </c>
      <c r="B3" s="120"/>
      <c r="C3" s="120"/>
      <c r="D3" s="120"/>
      <c r="E3" s="120"/>
      <c r="F3" s="120"/>
      <c r="G3" s="120"/>
    </row>
    <row r="4" customFormat="false" ht="15" hidden="false" customHeight="true" outlineLevel="0" collapsed="false">
      <c r="A4" s="121" t="s">
        <v>644</v>
      </c>
      <c r="B4" s="121" t="s">
        <v>645</v>
      </c>
      <c r="C4" s="121" t="s">
        <v>646</v>
      </c>
      <c r="D4" s="121" t="s">
        <v>436</v>
      </c>
      <c r="E4" s="121" t="s">
        <v>647</v>
      </c>
      <c r="F4" s="121" t="s">
        <v>648</v>
      </c>
      <c r="G4" s="121" t="s">
        <v>649</v>
      </c>
    </row>
    <row r="5" customFormat="false" ht="15" hidden="false" customHeight="true" outlineLevel="0" collapsed="false">
      <c r="A5" s="79" t="s">
        <v>650</v>
      </c>
      <c r="B5" s="24" t="s">
        <v>651</v>
      </c>
      <c r="C5" s="25" t="s">
        <v>652</v>
      </c>
      <c r="D5" s="23" t="n">
        <v>3262.07</v>
      </c>
      <c r="E5" s="25" t="s">
        <v>653</v>
      </c>
      <c r="F5" s="25" t="s">
        <v>654</v>
      </c>
      <c r="G5" s="24" t="s">
        <v>655</v>
      </c>
    </row>
    <row r="6" customFormat="false" ht="15" hidden="false" customHeight="true" outlineLevel="0" collapsed="false">
      <c r="A6" s="81" t="s">
        <v>656</v>
      </c>
      <c r="B6" s="29" t="s">
        <v>657</v>
      </c>
      <c r="C6" s="30" t="s">
        <v>658</v>
      </c>
      <c r="D6" s="28" t="n">
        <v>3655.58</v>
      </c>
      <c r="E6" s="30" t="s">
        <v>659</v>
      </c>
      <c r="F6" s="30" t="s">
        <v>660</v>
      </c>
      <c r="G6" s="29" t="s">
        <v>661</v>
      </c>
    </row>
    <row r="7" customFormat="false" ht="15" hidden="false" customHeight="true" outlineLevel="0" collapsed="false">
      <c r="A7" s="79" t="s">
        <v>662</v>
      </c>
      <c r="B7" s="24" t="s">
        <v>663</v>
      </c>
      <c r="C7" s="25" t="s">
        <v>658</v>
      </c>
      <c r="D7" s="23" t="n">
        <v>3658.42</v>
      </c>
      <c r="E7" s="25" t="s">
        <v>659</v>
      </c>
      <c r="F7" s="25" t="s">
        <v>664</v>
      </c>
      <c r="G7" s="24" t="s">
        <v>665</v>
      </c>
    </row>
    <row r="8" customFormat="false" ht="15" hidden="false" customHeight="true" outlineLevel="0" collapsed="false"/>
    <row r="9" customFormat="false" ht="15" hidden="false" customHeight="true" outlineLevel="0" collapsed="false">
      <c r="A9" s="120" t="s">
        <v>666</v>
      </c>
      <c r="B9" s="120"/>
      <c r="C9" s="120"/>
      <c r="D9" s="120"/>
      <c r="E9" s="120"/>
      <c r="F9" s="120"/>
      <c r="G9" s="120"/>
    </row>
    <row r="10" customFormat="false" ht="15" hidden="false" customHeight="true" outlineLevel="0" collapsed="false">
      <c r="A10" s="121" t="s">
        <v>55</v>
      </c>
      <c r="B10" s="121" t="s">
        <v>667</v>
      </c>
      <c r="C10" s="121" t="s">
        <v>668</v>
      </c>
      <c r="D10" s="121" t="s">
        <v>669</v>
      </c>
      <c r="E10" s="121" t="s">
        <v>670</v>
      </c>
      <c r="F10" s="121" t="s">
        <v>671</v>
      </c>
      <c r="G10" s="121" t="s">
        <v>394</v>
      </c>
    </row>
    <row r="11" customFormat="false" ht="15" hidden="false" customHeight="true" outlineLevel="0" collapsed="false">
      <c r="A11" s="55" t="n">
        <v>1</v>
      </c>
      <c r="B11" s="56" t="s">
        <v>672</v>
      </c>
      <c r="C11" s="57" t="s">
        <v>673</v>
      </c>
      <c r="D11" s="57" t="s">
        <v>674</v>
      </c>
      <c r="E11" s="55" t="s">
        <v>675</v>
      </c>
      <c r="F11" s="122" t="s">
        <v>676</v>
      </c>
      <c r="G11" s="56" t="s">
        <v>677</v>
      </c>
    </row>
    <row r="12" customFormat="false" ht="15" hidden="false" customHeight="true" outlineLevel="0" collapsed="false">
      <c r="A12" s="55" t="n">
        <v>2</v>
      </c>
      <c r="B12" s="56" t="s">
        <v>678</v>
      </c>
      <c r="C12" s="57" t="s">
        <v>679</v>
      </c>
      <c r="D12" s="57" t="s">
        <v>673</v>
      </c>
      <c r="E12" s="55" t="s">
        <v>680</v>
      </c>
      <c r="F12" s="122" t="s">
        <v>676</v>
      </c>
      <c r="G12" s="56" t="s">
        <v>681</v>
      </c>
    </row>
    <row r="13" customFormat="false" ht="15" hidden="false" customHeight="true" outlineLevel="0" collapsed="false">
      <c r="A13" s="49" t="n">
        <v>3</v>
      </c>
      <c r="B13" s="50" t="s">
        <v>682</v>
      </c>
      <c r="C13" s="51" t="s">
        <v>683</v>
      </c>
      <c r="D13" s="51" t="s">
        <v>683</v>
      </c>
      <c r="E13" s="49" t="s">
        <v>684</v>
      </c>
      <c r="F13" s="123" t="s">
        <v>685</v>
      </c>
      <c r="G13" s="50" t="s">
        <v>686</v>
      </c>
    </row>
    <row r="14" customFormat="false" ht="15" hidden="false" customHeight="true" outlineLevel="0" collapsed="false">
      <c r="A14" s="49" t="n">
        <v>4</v>
      </c>
      <c r="B14" s="50" t="s">
        <v>687</v>
      </c>
      <c r="C14" s="51" t="s">
        <v>688</v>
      </c>
      <c r="D14" s="51" t="s">
        <v>688</v>
      </c>
      <c r="E14" s="49" t="s">
        <v>684</v>
      </c>
      <c r="F14" s="123" t="s">
        <v>685</v>
      </c>
      <c r="G14" s="50" t="s">
        <v>686</v>
      </c>
    </row>
    <row r="15" customFormat="false" ht="15" hidden="false" customHeight="true" outlineLevel="0" collapsed="false">
      <c r="A15" s="55" t="n">
        <v>5</v>
      </c>
      <c r="B15" s="56" t="s">
        <v>689</v>
      </c>
      <c r="C15" s="57" t="s">
        <v>690</v>
      </c>
      <c r="D15" s="57" t="s">
        <v>691</v>
      </c>
      <c r="E15" s="55" t="s">
        <v>692</v>
      </c>
      <c r="F15" s="122" t="s">
        <v>676</v>
      </c>
      <c r="G15" s="56" t="s">
        <v>693</v>
      </c>
    </row>
    <row r="16" customFormat="false" ht="15" hidden="false" customHeight="true" outlineLevel="0" collapsed="false">
      <c r="A16" s="55" t="n">
        <v>6</v>
      </c>
      <c r="B16" s="56" t="s">
        <v>694</v>
      </c>
      <c r="C16" s="57" t="s">
        <v>695</v>
      </c>
      <c r="D16" s="57" t="s">
        <v>696</v>
      </c>
      <c r="E16" s="55" t="s">
        <v>697</v>
      </c>
      <c r="F16" s="122" t="s">
        <v>676</v>
      </c>
      <c r="G16" s="56" t="s">
        <v>698</v>
      </c>
    </row>
    <row r="17" customFormat="false" ht="15" hidden="false" customHeight="true" outlineLevel="0" collapsed="false"/>
    <row r="18" customFormat="false" ht="15" hidden="false" customHeight="true" outlineLevel="0" collapsed="false">
      <c r="A18" s="120" t="s">
        <v>699</v>
      </c>
      <c r="B18" s="120"/>
      <c r="C18" s="120"/>
      <c r="D18" s="120"/>
      <c r="E18" s="120"/>
      <c r="F18" s="120"/>
      <c r="G18" s="120"/>
    </row>
    <row r="19" customFormat="false" ht="23.25" hidden="false" customHeight="true" outlineLevel="0" collapsed="false">
      <c r="A19" s="121" t="s">
        <v>313</v>
      </c>
      <c r="B19" s="121" t="s">
        <v>700</v>
      </c>
      <c r="C19" s="121" t="s">
        <v>701</v>
      </c>
      <c r="D19" s="121" t="s">
        <v>702</v>
      </c>
      <c r="E19" s="121" t="s">
        <v>703</v>
      </c>
      <c r="F19" s="121" t="s">
        <v>671</v>
      </c>
      <c r="G19" s="121" t="s">
        <v>704</v>
      </c>
    </row>
    <row r="20" customFormat="false" ht="15" hidden="false" customHeight="true" outlineLevel="0" collapsed="false">
      <c r="A20" s="124" t="s">
        <v>323</v>
      </c>
      <c r="B20" s="57" t="n">
        <v>529.47</v>
      </c>
      <c r="C20" s="57" t="n">
        <v>340.38</v>
      </c>
      <c r="D20" s="55" t="n">
        <v>189.09</v>
      </c>
      <c r="E20" s="26" t="n">
        <f aca="false">IF(C20&gt;0,ABS(D20/C20),0)</f>
        <v>0.555526176626124</v>
      </c>
      <c r="F20" s="122" t="s">
        <v>676</v>
      </c>
      <c r="G20" s="56" t="s">
        <v>705</v>
      </c>
    </row>
    <row r="21" customFormat="false" ht="15.75" hidden="false" customHeight="true" outlineLevel="0" collapsed="false">
      <c r="A21" s="124" t="s">
        <v>329</v>
      </c>
      <c r="B21" s="57" t="n">
        <v>60.07</v>
      </c>
      <c r="C21" s="57" t="n">
        <v>121.86</v>
      </c>
      <c r="D21" s="55" t="n">
        <v>-61.79</v>
      </c>
      <c r="E21" s="31" t="n">
        <f aca="false">IF(C21&gt;0,ABS(D21/C21),0)</f>
        <v>0.507057278844576</v>
      </c>
      <c r="F21" s="122" t="s">
        <v>676</v>
      </c>
      <c r="G21" s="56" t="s">
        <v>706</v>
      </c>
    </row>
    <row r="22" customFormat="false" ht="15.75" hidden="false" customHeight="true" outlineLevel="0" collapsed="false">
      <c r="A22" s="124" t="s">
        <v>321</v>
      </c>
      <c r="B22" s="57" t="n">
        <v>629.23</v>
      </c>
      <c r="C22" s="57" t="n">
        <v>609.03</v>
      </c>
      <c r="D22" s="55" t="n">
        <v>20.2</v>
      </c>
      <c r="E22" s="26" t="n">
        <f aca="false">IF(C22&gt;0,ABS(D22/C22),0)</f>
        <v>0.033167495854063</v>
      </c>
      <c r="F22" s="122" t="s">
        <v>676</v>
      </c>
      <c r="G22" s="56" t="s">
        <v>707</v>
      </c>
    </row>
    <row r="23" customFormat="false" ht="15.75" hidden="false" customHeight="true" outlineLevel="0" collapsed="false">
      <c r="A23" s="125" t="s">
        <v>629</v>
      </c>
      <c r="B23" s="51" t="n">
        <v>0.84</v>
      </c>
      <c r="C23" s="51" t="n">
        <v>0</v>
      </c>
      <c r="D23" s="49" t="n">
        <v>0.84</v>
      </c>
      <c r="E23" s="31" t="n">
        <f aca="false">IF(C23&gt;0,ABS(D23/C23),0)</f>
        <v>0</v>
      </c>
      <c r="F23" s="123" t="s">
        <v>685</v>
      </c>
      <c r="G23" s="50" t="s">
        <v>708</v>
      </c>
    </row>
    <row r="24" customFormat="false" ht="15.75" hidden="false" customHeight="true" outlineLevel="0" collapsed="false">
      <c r="A24" s="124" t="s">
        <v>319</v>
      </c>
      <c r="B24" s="57" t="n">
        <v>842.63</v>
      </c>
      <c r="C24" s="57" t="n">
        <v>909.43</v>
      </c>
      <c r="D24" s="55" t="n">
        <v>-66.8</v>
      </c>
      <c r="E24" s="26" t="n">
        <f aca="false">IF(C24&gt;0,ABS(D24/C24),0)</f>
        <v>0.0734526021793871</v>
      </c>
      <c r="F24" s="122" t="s">
        <v>676</v>
      </c>
      <c r="G24" s="56" t="s">
        <v>709</v>
      </c>
    </row>
    <row r="25" customFormat="false" ht="15.75" hidden="false" customHeight="true" outlineLevel="0" collapsed="false">
      <c r="A25" s="124" t="s">
        <v>325</v>
      </c>
      <c r="B25" s="57" t="n">
        <v>1088.79</v>
      </c>
      <c r="C25" s="57" t="n">
        <v>1054.87</v>
      </c>
      <c r="D25" s="55" t="n">
        <v>33.92</v>
      </c>
      <c r="E25" s="31" t="n">
        <f aca="false">IF(C25&gt;0,ABS(D25/C25),0)</f>
        <v>0.0321556210717908</v>
      </c>
      <c r="F25" s="122" t="s">
        <v>676</v>
      </c>
      <c r="G25" s="56" t="s">
        <v>710</v>
      </c>
    </row>
    <row r="26" customFormat="false" ht="15.75" hidden="false" customHeight="true" outlineLevel="0" collapsed="false">
      <c r="A26" s="124" t="s">
        <v>361</v>
      </c>
      <c r="B26" s="57" t="n">
        <v>165.27</v>
      </c>
      <c r="C26" s="57" t="n">
        <v>226.5</v>
      </c>
      <c r="D26" s="55" t="n">
        <v>-61.23</v>
      </c>
      <c r="E26" s="26" t="n">
        <f aca="false">IF(C26&gt;0,ABS(D26/C26),0)</f>
        <v>0.270331125827815</v>
      </c>
      <c r="F26" s="122" t="s">
        <v>676</v>
      </c>
      <c r="G26" s="56" t="s">
        <v>711</v>
      </c>
    </row>
    <row r="27" customFormat="false" ht="15.75" hidden="false" customHeight="true" outlineLevel="0" collapsed="false"/>
    <row r="28" customFormat="false" ht="15.75" hidden="false" customHeight="true" outlineLevel="0" collapsed="false">
      <c r="A28" s="45" t="s">
        <v>712</v>
      </c>
      <c r="B28" s="45"/>
      <c r="C28" s="45"/>
      <c r="D28" s="45"/>
      <c r="E28" s="45"/>
      <c r="F28" s="45"/>
      <c r="G28" s="45"/>
    </row>
    <row r="29" customFormat="false" ht="15.75" hidden="false" customHeight="true" outlineLevel="0" collapsed="false">
      <c r="A29" s="46" t="s">
        <v>713</v>
      </c>
      <c r="B29" s="46"/>
      <c r="C29" s="46"/>
      <c r="D29" s="46"/>
      <c r="E29" s="46"/>
      <c r="F29" s="46"/>
      <c r="G29" s="46"/>
    </row>
    <row r="30" customFormat="false" ht="15.75" hidden="false" customHeight="true" outlineLevel="0" collapsed="false">
      <c r="A30" s="46" t="s">
        <v>714</v>
      </c>
      <c r="B30" s="46"/>
      <c r="C30" s="46"/>
      <c r="D30" s="46"/>
      <c r="E30" s="46"/>
      <c r="F30" s="46"/>
      <c r="G30" s="46"/>
    </row>
    <row r="31" customFormat="false" ht="15.75" hidden="false" customHeight="true" outlineLevel="0" collapsed="false">
      <c r="A31" s="46" t="s">
        <v>715</v>
      </c>
      <c r="B31" s="46"/>
      <c r="C31" s="46"/>
      <c r="D31" s="46"/>
      <c r="E31" s="46"/>
      <c r="F31" s="46"/>
      <c r="G31" s="46"/>
    </row>
    <row r="32" customFormat="false" ht="15.75" hidden="false" customHeight="true" outlineLevel="0" collapsed="false">
      <c r="A32" s="46" t="s">
        <v>716</v>
      </c>
      <c r="B32" s="46"/>
      <c r="C32" s="46"/>
      <c r="D32" s="46"/>
      <c r="E32" s="46"/>
      <c r="F32" s="46"/>
      <c r="G32" s="46"/>
    </row>
    <row r="33" customFormat="false" ht="15.75" hidden="false" customHeight="true" outlineLevel="0" collapsed="false">
      <c r="A33" s="46" t="s">
        <v>717</v>
      </c>
      <c r="B33" s="46"/>
      <c r="C33" s="46"/>
      <c r="D33" s="46"/>
      <c r="E33" s="46"/>
      <c r="F33" s="46"/>
      <c r="G33" s="46"/>
    </row>
    <row r="34" customFormat="false" ht="15.75" hidden="false" customHeight="true" outlineLevel="0" collapsed="false">
      <c r="A34" s="46" t="s">
        <v>718</v>
      </c>
      <c r="B34" s="46"/>
      <c r="C34" s="46"/>
      <c r="D34" s="46"/>
      <c r="E34" s="46"/>
      <c r="F34" s="46"/>
      <c r="G34" s="46"/>
    </row>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2">
    <mergeCell ref="A1:G1"/>
    <mergeCell ref="A2:G2"/>
    <mergeCell ref="A3:G3"/>
    <mergeCell ref="A9:G9"/>
    <mergeCell ref="A18:G18"/>
    <mergeCell ref="A28:G28"/>
    <mergeCell ref="A29:G29"/>
    <mergeCell ref="A30:G30"/>
    <mergeCell ref="A31:G31"/>
    <mergeCell ref="A32:G32"/>
    <mergeCell ref="A33:G33"/>
    <mergeCell ref="A34:G34"/>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2026-03-18T00:07:19Z</dcterms:created>
  <dc:creator>openpyxl</dc:creator>
  <dc:description/>
  <dc:language>en-US</dc:language>
  <cp:lastModifiedBy/>
  <dcterms:modified xsi:type="dcterms:W3CDTF">2026-04-08T21:10:30Z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